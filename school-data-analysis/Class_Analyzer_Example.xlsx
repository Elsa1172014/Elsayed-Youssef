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تحليل صفي"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<sst xmlns="http://schemas.openxmlformats.org/spreadsheetml/2006/main" count="215" uniqueCount="79">
  <si>
    <t xml:space="preserve">تحليل نتائج صفّي | My Class Analyzer</t>
  </si>
  <si>
    <t xml:space="preserve">هذا ملف مثال بأرقام تجريبية — استبدل الأعداد بأعداد صفّك.</t>
  </si>
  <si>
    <t xml:space="preserve">الصف / الشعبة (اختياري)</t>
  </si>
  <si>
    <t xml:space="preserve">مثال: Y10 / Arabic A</t>
  </si>
  <si>
    <t xml:space="preserve">المعلم</t>
  </si>
  <si>
    <t xml:space="preserve">اسم المعلم</t>
  </si>
  <si>
    <t xml:space="preserve">الفترة</t>
  </si>
  <si>
    <t xml:space="preserve">Term 1</t>
  </si>
  <si>
    <t xml:space="preserve">1) أدخل عدد الطلاب | Enter counts</t>
  </si>
  <si>
    <t xml:space="preserve">الصفوف = علامة البداية (Start Point) · الأعمدة = العلامة الحالية (Current Grade). ضع عدد الطلاب في الخلية التي يلتقي فيها الاثنان. لمن لا نقطة بداية له استخدم صف «بدون Start»، ولمن غاب أو بلا نتيجة استخدم عمود NR (ليس U). الألوان: أحمر = Less · أصفر = Expected · أخضر = Better.</t>
  </si>
  <si>
    <t xml:space="preserve">قيم مساعدة (للقراءة فقط)</t>
  </si>
  <si>
    <t xml:space="preserve">Start ↓   /   Current →</t>
  </si>
  <si>
    <t xml:space="preserve">U</t>
  </si>
  <si>
    <t xml:space="preserve">B</t>
  </si>
  <si>
    <t xml:space="preserve">B+</t>
  </si>
  <si>
    <t xml:space="preserve">T</t>
  </si>
  <si>
    <t xml:space="preserve">AT</t>
  </si>
  <si>
    <t xml:space="preserve">AT+</t>
  </si>
  <si>
    <t xml:space="preserve">AB</t>
  </si>
  <si>
    <t xml:space="preserve">AB+</t>
  </si>
  <si>
    <t xml:space="preserve">GD</t>
  </si>
  <si>
    <t xml:space="preserve">GD+</t>
  </si>
  <si>
    <t xml:space="preserve">NR</t>
  </si>
  <si>
    <t xml:space="preserve">المجموع</t>
  </si>
  <si>
    <t xml:space="preserve">طلاب بنتائج</t>
  </si>
  <si>
    <t xml:space="preserve">بدون Start</t>
  </si>
  <si>
    <t xml:space="preserve">At &amp; Above</t>
  </si>
  <si>
    <t xml:space="preserve">Above</t>
  </si>
  <si>
    <t xml:space="preserve">Less</t>
  </si>
  <si>
    <t xml:space="preserve">Expected</t>
  </si>
  <si>
    <t xml:space="preserve">Better</t>
  </si>
  <si>
    <t xml:space="preserve">U مستبعد من التقدم</t>
  </si>
  <si>
    <t xml:space="preserve">NR (بلا نتيجة)</t>
  </si>
  <si>
    <t xml:space="preserve">حالات التقدم</t>
  </si>
  <si>
    <t xml:space="preserve">ترتيب العلامة (مساعد)</t>
  </si>
  <si>
    <t xml:space="preserve">2) النتيجة | Results</t>
  </si>
  <si>
    <t xml:space="preserve">حكم التحصيل</t>
  </si>
  <si>
    <t xml:space="preserve">بلا نتيجة (NR)</t>
  </si>
  <si>
    <t xml:space="preserve">Attainment rating</t>
  </si>
  <si>
    <t xml:space="preserve">مستبعد من التحصيل</t>
  </si>
  <si>
    <t xml:space="preserve">حالات تقدم قابلة للتصنيف</t>
  </si>
  <si>
    <t xml:space="preserve">Less Than Expected</t>
  </si>
  <si>
    <t xml:space="preserve">Better Than Expected</t>
  </si>
  <si>
    <t xml:space="preserve">Expected &amp; Better</t>
  </si>
  <si>
    <t xml:space="preserve">حكم التقدم</t>
  </si>
  <si>
    <t xml:space="preserve">Progress rating</t>
  </si>
  <si>
    <t xml:space="preserve">3) التفصيل والرسوم | Breakdown</t>
  </si>
  <si>
    <t xml:space="preserve">العلامة</t>
  </si>
  <si>
    <t xml:space="preserve">عدد</t>
  </si>
  <si>
    <t xml:space="preserve">%</t>
  </si>
  <si>
    <t xml:space="preserve">الشريحة</t>
  </si>
  <si>
    <t xml:space="preserve">تسمية الرسم</t>
  </si>
  <si>
    <t xml:space="preserve">شريحة التحصيل</t>
  </si>
  <si>
    <t xml:space="preserve">أقل من At</t>
  </si>
  <si>
    <t xml:space="preserve">At (دون Above)</t>
  </si>
  <si>
    <t xml:space="preserve">تصنيف التقدم</t>
  </si>
  <si>
    <t xml:space="preserve">الإعدادات والمرجع | Settings &amp; reference (لا تحتاج تعديلها عادة)</t>
  </si>
  <si>
    <t xml:space="preserve">عتبات التحصيل</t>
  </si>
  <si>
    <t xml:space="preserve">At &amp; Above يبدأ من</t>
  </si>
  <si>
    <t xml:space="preserve">At &amp; Above = من نتيجته ≥ هذه العلامة ÷ أصحاب النتائج (U تُحسب نتيجة، NR لا). ليست هي AT+.</t>
  </si>
  <si>
    <t xml:space="preserve">Above يبدأ من</t>
  </si>
  <si>
    <t xml:space="preserve">مفتاح حكم الأداء (حدود متصلة)</t>
  </si>
  <si>
    <t xml:space="preserve">التحصيل</t>
  </si>
  <si>
    <t xml:space="preserve">التقدم</t>
  </si>
  <si>
    <t xml:space="preserve">At&amp;Above ≤ → Very Weak</t>
  </si>
  <si>
    <t xml:space="preserve">للتقدم: «At&amp;Above» = Expected &amp; Better ، «Above» = Better Than Expected. قيم التقدم نُسخت من التحصيل كافتراض.</t>
  </si>
  <si>
    <t xml:space="preserve">At&amp;Above &lt; → Weak</t>
  </si>
  <si>
    <t xml:space="preserve">Above &lt; → Acceptable</t>
  </si>
  <si>
    <t xml:space="preserve">Above ≤ → Good (وما فوقه Very Good)</t>
  </si>
  <si>
    <t xml:space="preserve">Above ≥ → Outstanding</t>
  </si>
  <si>
    <t xml:space="preserve">Outstanding</t>
  </si>
  <si>
    <t xml:space="preserve">Very Good</t>
  </si>
  <si>
    <t xml:space="preserve">Good</t>
  </si>
  <si>
    <t xml:space="preserve">Acceptable</t>
  </si>
  <si>
    <t xml:space="preserve">Weak</t>
  </si>
  <si>
    <t xml:space="preserve">Very Weak</t>
  </si>
  <si>
    <t xml:space="preserve">مصفوفة التقدم المرجعية (Y1–13 Non-Exam): الصف = Start ، العمود = Current</t>
  </si>
  <si>
    <t xml:space="preserve">Start ↓ / Current →</t>
  </si>
  <si>
    <t xml:space="preserve">ملاحظة: U غير موجودة في المصفوفة المعتمدة، فلا حكم لها. الصور/الملفات لا تُقرأ تلقائياً: الإدخال يدوي.</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</si>
</sst>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
  </numFmts>
  <fonts count="30">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5F6F86"/>
      <name val="Arial"/>
      <family val="0"/>
      <charset val="1"/>
    </font>
    <font>
      <b val="true"/>
      <sz val="9"/>
      <color rgb="FF0B2A4A"/>
      <name val="Arial"/>
      <family val="0"/>
      <charset val="1"/>
    </font>
    <font>
      <b val="true"/>
      <sz val="10"/>
      <color rgb="FF0000FF"/>
      <name val="Arial"/>
      <family val="0"/>
      <charset val="1"/>
    </font>
    <font>
      <b val="true"/>
      <sz val="12"/>
      <color rgb="FFFFFFFF"/>
      <name val="Arial"/>
      <family val="0"/>
      <charset val="1"/>
    </font>
    <font>
      <i val="true"/>
      <sz val="9"/>
      <color rgb="FF5F6F86"/>
      <name val="Arial"/>
      <family val="0"/>
      <charset val="1"/>
    </font>
    <font>
      <b val="true"/>
      <sz val="9"/>
      <color rgb="FF5F6F86"/>
      <name val="Arial"/>
      <family val="0"/>
      <charset val="1"/>
    </font>
    <font>
      <b val="true"/>
      <sz val="9"/>
      <color rgb="FFFFFFFF"/>
      <name val="Arial"/>
      <family val="0"/>
      <charset val="1"/>
    </font>
    <font>
      <b val="true"/>
      <sz val="10"/>
      <color rgb="FFFFFFFF"/>
      <name val="Arial"/>
      <family val="0"/>
      <charset val="1"/>
    </font>
    <font>
      <sz val="8"/>
      <color rgb="FF5F6F86"/>
      <name val="Arial"/>
      <family val="0"/>
      <charset val="1"/>
    </font>
    <font>
      <b val="true"/>
      <sz val="11"/>
      <color rgb="FF0000FF"/>
      <name val="Arial"/>
      <family val="0"/>
      <charset val="1"/>
    </font>
    <font>
      <b val="true"/>
      <sz val="10"/>
      <color rgb="FF000000"/>
      <name val="Arial"/>
      <family val="0"/>
      <charset val="1"/>
    </font>
    <font>
      <b val="true"/>
      <sz val="20"/>
      <color rgb="FF0B2A4A"/>
      <name val="Arial"/>
      <family val="0"/>
      <charset val="1"/>
    </font>
    <font>
      <b val="true"/>
      <sz val="15"/>
      <color rgb="FF0B2A4A"/>
      <name val="Arial"/>
      <family val="0"/>
      <charset val="1"/>
    </font>
    <font>
      <sz val="9"/>
      <color rgb="FF5F6F86"/>
      <name val="Arial"/>
      <family val="0"/>
      <charset val="1"/>
    </font>
    <font>
      <sz val="7"/>
      <color rgb="FF5F6F86"/>
      <name val="Arial"/>
      <family val="0"/>
      <charset val="1"/>
    </font>
    <font>
      <sz val="10"/>
      <color rgb="FF000000"/>
      <name val="Arial"/>
      <family val="0"/>
      <charset val="1"/>
    </font>
    <font>
      <b val="true"/>
      <sz val="10"/>
      <color rgb="FF0B2A4A"/>
      <name val="Arial"/>
      <family val="0"/>
      <charset val="1"/>
    </font>
    <font>
      <sz val="9"/>
      <color rgb="FF000000"/>
      <name val="Arial"/>
      <family val="0"/>
      <charset val="1"/>
    </font>
    <font>
      <i val="true"/>
      <sz val="9"/>
      <color rgb="FFB45309"/>
      <name val="Arial"/>
      <family val="0"/>
      <charset val="1"/>
    </font>
    <font>
      <b val="true"/>
      <sz val="8"/>
      <color rgb="FFFFFFFF"/>
      <name val="Arial"/>
      <family val="0"/>
      <charset val="1"/>
    </font>
    <font>
      <b val="true"/>
      <sz val="8"/>
      <color rgb="FF0B2A4A"/>
      <name val="Arial"/>
      <family val="0"/>
      <charset val="1"/>
    </font>
    <font>
      <b val="true"/>
      <sz val="8"/>
      <color rgb="FF000000"/>
      <name val="Arial"/>
      <family val="0"/>
      <charset val="1"/>
    </font>
    <font>
      <b val="true"/>
      <sz val="11"/>
      <color rgb="FF0B2A4A"/>
      <name val="FreeSans"/>
      <family val="2"/>
    </font>
    <font>
      <b val="true"/>
      <sz val="11"/>
      <color rgb="FF0B2A4A"/>
      <name val="Calibri"/>
      <family val="2"/>
    </font>
    <font>
      <sz val="10"/>
      <color rgb="FF000000"/>
      <name val="Calibri"/>
      <family val="2"/>
    </font>
  </fonts>
  <fills count="16">
    <fill>
      <patternFill patternType="none"/>
    </fill>
    <fill>
      <patternFill patternType="gray125"/>
    </fill>
    <fill>
      <patternFill patternType="solid">
        <fgColor rgb="FFF3F6FA"/>
        <bgColor rgb="FFFFFFFF"/>
      </patternFill>
    </fill>
    <fill>
      <patternFill patternType="solid">
        <fgColor rgb="FF0B2A4A"/>
        <bgColor rgb="FF16385F"/>
      </patternFill>
    </fill>
    <fill>
      <patternFill patternType="solid">
        <fgColor rgb="FFD6F1F3"/>
        <bgColor rgb="FFD3F0DE"/>
      </patternFill>
    </fill>
    <fill>
      <patternFill patternType="solid">
        <fgColor rgb="FFFFF6D6"/>
        <bgColor rgb="FFFCEFC1"/>
      </patternFill>
    </fill>
    <fill>
      <patternFill patternType="solid">
        <fgColor rgb="FFFFFFFF"/>
        <bgColor rgb="FFF3F6FA"/>
      </patternFill>
    </fill>
    <fill>
      <patternFill patternType="solid">
        <fgColor rgb="FFF9D6D3"/>
        <bgColor rgb="FFFBD5D2"/>
      </patternFill>
    </fill>
    <fill>
      <patternFill patternType="solid">
        <fgColor rgb="FFFCEFC1"/>
        <bgColor rgb="FFFFF1B8"/>
      </patternFill>
    </fill>
    <fill>
      <patternFill patternType="solid">
        <fgColor rgb="FFD3F0DE"/>
        <bgColor rgb="FFCFEFD9"/>
      </patternFill>
    </fill>
    <fill>
      <patternFill patternType="solid">
        <fgColor rgb="FF2E8FEA"/>
        <bgColor rgb="FF4F81BD"/>
      </patternFill>
    </fill>
    <fill>
      <patternFill patternType="solid">
        <fgColor rgb="FF4E9A63"/>
        <bgColor rgb="FF3DBE6B"/>
      </patternFill>
    </fill>
    <fill>
      <patternFill patternType="solid">
        <fgColor rgb="FF63C2A6"/>
        <bgColor rgb="FF3DBE6B"/>
      </patternFill>
    </fill>
    <fill>
      <patternFill patternType="solid">
        <fgColor rgb="FFDCE8C8"/>
        <bgColor rgb="FFCFEFD9"/>
      </patternFill>
    </fill>
    <fill>
      <patternFill patternType="solid">
        <fgColor rgb="FFC7AAC4"/>
        <bgColor rgb="FF9999FF"/>
      </patternFill>
    </fill>
    <fill>
      <patternFill patternType="solid">
        <fgColor rgb="FFC2427F"/>
        <bgColor rgb="FF993366"/>
      </patternFill>
    </fill>
  </fills>
  <borders count="2">
    <border diagonalUp="false" diagonalDown="false">
      <left/>
      <right/>
      <top/>
      <bottom/>
      <diagonal/>
    </border>
    <border diagonalUp="false" diagonalDown="false">
      <left style="thin">
        <color rgb="FFD5DCE6"/>
      </left>
      <right style="thin">
        <color rgb="FFD5DCE6"/>
      </right>
      <top style="thin">
        <color rgb="FFD5DCE6"/>
      </top>
      <bottom style="thin">
        <color rgb="FFD5DC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right" vertical="center" textRotation="0" wrapText="false" indent="1" shrinkToFit="false"/>
      <protection locked="true" hidden="false"/>
    </xf>
    <xf numFmtId="164" fontId="5" fillId="2" borderId="0" xfId="0" applyFont="true" applyBorder="true" applyAlignment="true" applyProtection="false">
      <alignment horizontal="righ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false" hidden="false"/>
    </xf>
    <xf numFmtId="164" fontId="8" fillId="3" borderId="0" xfId="0" applyFont="true" applyBorder="true" applyAlignment="true" applyProtection="false">
      <alignment horizontal="right" vertical="center" textRotation="0" wrapText="true" indent="0" shrinkToFit="false"/>
      <protection locked="true" hidden="false"/>
    </xf>
    <xf numFmtId="164" fontId="9" fillId="2" borderId="0" xfId="0" applyFont="true" applyBorder="true" applyAlignment="true" applyProtection="false">
      <alignment horizontal="right" vertical="center" textRotation="0" wrapText="true" indent="0" shrinkToFit="false"/>
      <protection locked="true" hidden="false"/>
    </xf>
    <xf numFmtId="164" fontId="10" fillId="0" borderId="0" xfId="0" applyFont="true" applyBorder="false" applyAlignment="true" applyProtection="false">
      <alignment horizontal="righ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readingOrder="1"/>
      <protection locked="true" hidden="false"/>
    </xf>
    <xf numFmtId="164" fontId="13" fillId="0" borderId="0" xfId="0" applyFont="true" applyBorder="false" applyAlignment="true" applyProtection="false">
      <alignment horizontal="right" vertical="center" textRotation="0" wrapText="true" indent="0" shrinkToFit="false"/>
      <protection locked="true" hidden="false"/>
    </xf>
    <xf numFmtId="165" fontId="13" fillId="0" borderId="0" xfId="0" applyFont="true" applyBorder="fals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true">
      <alignment horizontal="center" vertical="center" textRotation="0" wrapText="true" indent="0" shrinkToFit="false"/>
      <protection locked="false" hidden="false"/>
    </xf>
    <xf numFmtId="165" fontId="15" fillId="4"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6" fontId="16" fillId="6" borderId="1" xfId="0" applyFont="true" applyBorder="true" applyAlignment="true" applyProtection="false">
      <alignment horizontal="center" vertical="center" textRotation="0" wrapText="true" indent="0" shrinkToFit="false"/>
      <protection locked="true" hidden="false"/>
    </xf>
    <xf numFmtId="167" fontId="16" fillId="6"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right" vertical="center" textRotation="0" wrapText="true" indent="0" shrinkToFit="false"/>
      <protection locked="true" hidden="false"/>
    </xf>
    <xf numFmtId="164" fontId="19" fillId="2" borderId="0" xfId="0" applyFont="true" applyBorder="fals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false" indent="0" shrinkToFit="false" readingOrder="1"/>
      <protection locked="true" hidden="false"/>
    </xf>
    <xf numFmtId="165" fontId="20" fillId="2" borderId="1" xfId="0" applyFont="true" applyBorder="true" applyAlignment="true" applyProtection="false">
      <alignment horizontal="center" vertical="center" textRotation="0" wrapText="true" indent="0" shrinkToFit="false"/>
      <protection locked="true" hidden="false"/>
    </xf>
    <xf numFmtId="167" fontId="20" fillId="2" borderId="1" xfId="0" applyFont="true" applyBorder="true" applyAlignment="true" applyProtection="false">
      <alignment horizontal="center" vertical="center" textRotation="0" wrapText="true" indent="0" shrinkToFit="false"/>
      <protection locked="true" hidden="false"/>
    </xf>
    <xf numFmtId="167" fontId="15" fillId="4"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right" vertical="center" textRotation="0" wrapText="true" indent="0" shrinkToFit="false"/>
      <protection locked="true" hidden="false"/>
    </xf>
    <xf numFmtId="164" fontId="21" fillId="2" borderId="0" xfId="0" applyFont="true" applyBorder="false" applyAlignment="true" applyProtection="false">
      <alignment horizontal="right" vertical="center" textRotation="0" wrapText="true" indent="0" shrinkToFit="false"/>
      <protection locked="true" hidden="false"/>
    </xf>
    <xf numFmtId="164" fontId="20" fillId="2" borderId="1" xfId="0" applyFont="true" applyBorder="true" applyAlignment="true" applyProtection="false">
      <alignment horizontal="right"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false" indent="0" shrinkToFit="false" readingOrder="1"/>
      <protection locked="false" hidden="false"/>
    </xf>
    <xf numFmtId="165" fontId="18" fillId="2" borderId="0" xfId="0" applyFont="true" applyBorder="false" applyAlignment="true" applyProtection="false">
      <alignment horizontal="center" vertical="center" textRotation="0" wrapText="true" indent="0" shrinkToFit="false"/>
      <protection locked="true" hidden="false"/>
    </xf>
    <xf numFmtId="164" fontId="22" fillId="2" borderId="1" xfId="0" applyFont="true" applyBorder="true" applyAlignment="true" applyProtection="false">
      <alignment horizontal="right" vertical="center" textRotation="0" wrapText="true" indent="0" shrinkToFit="false"/>
      <protection locked="true" hidden="false"/>
    </xf>
    <xf numFmtId="168" fontId="7" fillId="5" borderId="1" xfId="0" applyFont="true" applyBorder="true" applyAlignment="true" applyProtection="true">
      <alignment horizontal="center" vertical="center" textRotation="0" wrapText="true" indent="0" shrinkToFit="false"/>
      <protection locked="false" hidden="false"/>
    </xf>
    <xf numFmtId="164" fontId="23" fillId="2" borderId="0" xfId="0" applyFont="true" applyBorder="true" applyAlignment="true" applyProtection="false">
      <alignment horizontal="right" vertical="center" textRotation="0" wrapText="true" indent="0" shrinkToFit="false"/>
      <protection locked="true" hidden="false"/>
    </xf>
    <xf numFmtId="164" fontId="24" fillId="10" borderId="1" xfId="0" applyFont="true" applyBorder="true" applyAlignment="true" applyProtection="false">
      <alignment horizontal="center" vertical="center" textRotation="0" wrapText="true" indent="0" shrinkToFit="false"/>
      <protection locked="true" hidden="false"/>
    </xf>
    <xf numFmtId="164" fontId="24" fillId="11"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true" indent="0" shrinkToFit="false"/>
      <protection locked="true" hidden="false"/>
    </xf>
    <xf numFmtId="164" fontId="25" fillId="13" borderId="1" xfId="0" applyFont="true" applyBorder="true" applyAlignment="true" applyProtection="false">
      <alignment horizontal="center" vertical="center" textRotation="0" wrapText="true" indent="0" shrinkToFit="false"/>
      <protection locked="true" hidden="false"/>
    </xf>
    <xf numFmtId="164" fontId="25" fillId="14" borderId="1" xfId="0" applyFont="true" applyBorder="true" applyAlignment="true" applyProtection="false">
      <alignment horizontal="center" vertical="center" textRotation="0" wrapText="true" indent="0" shrinkToFit="false"/>
      <protection locked="true" hidden="false"/>
    </xf>
    <xf numFmtId="164" fontId="24" fillId="15"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readingOrder="1"/>
      <protection locked="true" hidden="false"/>
    </xf>
    <xf numFmtId="164" fontId="26"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FBD5D2"/>
        </patternFill>
      </fill>
    </dxf>
    <dxf>
      <fill>
        <patternFill>
          <bgColor rgb="FFFFF1B8"/>
        </patternFill>
      </fill>
    </dxf>
    <dxf>
      <fill>
        <patternFill>
          <bgColor rgb="FFCFEFD9"/>
        </patternFill>
      </fill>
    </dxf>
    <dxf>
      <font>
        <name val="Arial"/>
        <charset val="1"/>
        <family val="0"/>
        <b val="1"/>
        <color rgb="FFFFFFFF"/>
      </font>
      <fill>
        <patternFill>
          <bgColor rgb="FF2E8FEA"/>
        </patternFill>
      </fill>
    </dxf>
    <dxf>
      <font>
        <name val="Arial"/>
        <charset val="1"/>
        <family val="0"/>
        <b val="1"/>
        <color rgb="FFFFFFFF"/>
      </font>
      <fill>
        <patternFill>
          <bgColor rgb="FF4E9A63"/>
        </patternFill>
      </fill>
    </dxf>
    <dxf>
      <font>
        <name val="Arial"/>
        <charset val="1"/>
        <family val="0"/>
        <b val="1"/>
        <color rgb="FF0B2A4A"/>
      </font>
      <fill>
        <patternFill>
          <bgColor rgb="FF63C2A6"/>
        </patternFill>
      </fill>
    </dxf>
    <dxf>
      <font>
        <name val="Arial"/>
        <charset val="1"/>
        <family val="0"/>
        <b val="1"/>
        <color rgb="FF0B2A4A"/>
      </font>
      <fill>
        <patternFill>
          <bgColor rgb="FFDCE8C8"/>
        </patternFill>
      </fill>
    </dxf>
    <dxf>
      <font>
        <name val="Arial"/>
        <charset val="1"/>
        <family val="0"/>
        <b val="1"/>
        <color rgb="FF0B2A4A"/>
      </font>
      <fill>
        <patternFill>
          <bgColor rgb="FFC7AAC4"/>
        </patternFill>
      </fill>
    </dxf>
    <dxf>
      <font>
        <name val="Arial"/>
        <charset val="1"/>
        <family val="0"/>
        <b val="1"/>
        <color rgb="FFFFFFFF"/>
      </font>
      <fill>
        <patternFill>
          <bgColor rgb="FFC2427F"/>
        </patternFill>
      </fill>
    </dxf>
    <dxf>
      <font>
        <name val="Arial"/>
        <charset val="1"/>
        <family val="0"/>
        <b val="1"/>
        <color rgb="FFFFFFFF"/>
      </font>
      <fill>
        <patternFill>
          <bgColor rgb="FFE5483E"/>
        </patternFill>
      </fill>
    </dxf>
    <dxf>
      <font>
        <name val="Arial"/>
        <charset val="1"/>
        <family val="0"/>
        <b val="1"/>
        <color rgb="FF000000"/>
      </font>
      <fill>
        <patternFill>
          <bgColor rgb="FFF6C945"/>
        </patternFill>
      </fill>
    </dxf>
    <dxf>
      <font>
        <name val="Arial"/>
        <charset val="1"/>
        <family val="0"/>
        <b val="1"/>
        <color rgb="FF000000"/>
      </font>
      <fill>
        <patternFill>
          <bgColor rgb="FF3DBE6B"/>
        </patternFill>
      </fill>
    </dxf>
  </dxfs>
  <colors>
    <indexedColors>
      <rgbColor rgb="FF000000"/>
      <rgbColor rgb="FFFFFFFF"/>
      <rgbColor rgb="FFFF0000"/>
      <rgbColor rgb="FF00FF00"/>
      <rgbColor rgb="FF0000FF"/>
      <rgbColor rgb="FFFCEFC1"/>
      <rgbColor rgb="FFFF00FF"/>
      <rgbColor rgb="FF00FFFF"/>
      <rgbColor rgb="FF800000"/>
      <rgbColor rgb="FF008000"/>
      <rgbColor rgb="FF000080"/>
      <rgbColor rgb="FF808000"/>
      <rgbColor rgb="FF800080"/>
      <rgbColor rgb="FF3DBE6B"/>
      <rgbColor rgb="FFC7AAC4"/>
      <rgbColor rgb="FF878787"/>
      <rgbColor rgb="FF9999FF"/>
      <rgbColor rgb="FFC2427F"/>
      <rgbColor rgb="FFFFF6D6"/>
      <rgbColor rgb="FFD6F1F3"/>
      <rgbColor rgb="FF660066"/>
      <rgbColor rgb="FFFF8080"/>
      <rgbColor rgb="FF0066CC"/>
      <rgbColor rgb="FFD5DCE6"/>
      <rgbColor rgb="FF000080"/>
      <rgbColor rgb="FFFF00FF"/>
      <rgbColor rgb="FFF3F6FA"/>
      <rgbColor rgb="FF00FFFF"/>
      <rgbColor rgb="FF800080"/>
      <rgbColor rgb="FF800000"/>
      <rgbColor rgb="FF008080"/>
      <rgbColor rgb="FF0000FF"/>
      <rgbColor rgb="FF00CCFF"/>
      <rgbColor rgb="FFD3F0DE"/>
      <rgbColor rgb="FFCFEFD9"/>
      <rgbColor rgb="FFFFF1B8"/>
      <rgbColor rgb="FFD9D9D9"/>
      <rgbColor rgb="FFF9D6D3"/>
      <rgbColor rgb="FFDCE8C8"/>
      <rgbColor rgb="FFFBD5D2"/>
      <rgbColor rgb="FF2E8FEA"/>
      <rgbColor rgb="FF63C2A6"/>
      <rgbColor rgb="FF99CC00"/>
      <rgbColor rgb="FFF6C945"/>
      <rgbColor rgb="FFFF9900"/>
      <rgbColor rgb="FFE5483E"/>
      <rgbColor rgb="FF5F6F86"/>
      <rgbColor rgb="FF4F81BD"/>
      <rgbColor rgb="FF16385F"/>
      <rgbColor rgb="FF4E9A63"/>
      <rgbColor rgb="FF003300"/>
      <rgbColor rgb="FF333300"/>
      <rgbColor rgb="FFB45309"/>
      <rgbColor rgb="FF993366"/>
      <rgbColor rgb="FF333399"/>
      <rgbColor rgb="FF0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2a4a"/>
                </a:solidFill>
                <a:latin typeface="Calibri"/>
              </a:defRPr>
            </a:pPr>
            <a:r>
              <a:rPr b="1" sz="1100" spc="-1" strike="noStrike">
                <a:solidFill>
                  <a:srgbClr val="0b2a4a"/>
                </a:solidFill>
                <a:latin typeface="Calibri"/>
              </a:rPr>
              <a:t>توزيع العلامات الحالية (عدد الطلاب)</a:t>
            </a:r>
          </a:p>
        </c:rich>
      </c:tx>
      <c:overlay val="0"/>
      <c:spPr>
        <a:noFill/>
        <a:ln w="0">
          <a:noFill/>
        </a:ln>
      </c:spPr>
    </c:title>
    <c:autoTitleDeleted val="0"/>
    <c:plotArea>
      <c:barChart>
        <c:barDir val="col"/>
        <c:grouping val="clustered"/>
        <c:varyColors val="0"/>
        <c:ser>
          <c:idx val="0"/>
          <c:order val="0"/>
          <c:tx>
            <c:strRef>
              <c:f>"عدد الطلاب"</c:f>
              <c:strCache>
                <c:ptCount val="1"/>
                <c:pt idx="0">
                  <c:v>عدد الطلاب</c:v>
                </c:pt>
              </c:strCache>
            </c:strRef>
          </c:tx>
          <c:spPr>
            <a:solidFill>
              <a:srgbClr val="16385f"/>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'تحليل صفي'!$F$38:$F$47</c:f>
              <c:strCache>
                <c:ptCount val="10"/>
                <c:pt idx="0">
                  <c:v>U‎</c:v>
                </c:pt>
                <c:pt idx="1">
                  <c:v>B‎</c:v>
                </c:pt>
                <c:pt idx="2">
                  <c:v>B+‎</c:v>
                </c:pt>
                <c:pt idx="3">
                  <c:v>T‎</c:v>
                </c:pt>
                <c:pt idx="4">
                  <c:v>AT‎</c:v>
                </c:pt>
                <c:pt idx="5">
                  <c:v>AT+‎</c:v>
                </c:pt>
                <c:pt idx="6">
                  <c:v>AB‎</c:v>
                </c:pt>
                <c:pt idx="7">
                  <c:v>AB+‎</c:v>
                </c:pt>
                <c:pt idx="8">
                  <c:v>GD‎</c:v>
                </c:pt>
                <c:pt idx="9">
                  <c:v>GD+‎</c:v>
                </c:pt>
              </c:strCache>
            </c:strRef>
          </c:cat>
          <c:val>
            <c:numRef>
              <c:f>'تحليل صفي'!$C$38:$C$47</c:f>
              <c:numCache>
                <c:formatCode>General</c:formatCode>
                <c:ptCount val="10"/>
                <c:pt idx="0">
                  <c:v>1</c:v>
                </c:pt>
                <c:pt idx="1">
                  <c:v>0</c:v>
                </c:pt>
                <c:pt idx="2">
                  <c:v>1</c:v>
                </c:pt>
                <c:pt idx="3">
                  <c:v>2</c:v>
                </c:pt>
                <c:pt idx="4">
                  <c:v>3</c:v>
                </c:pt>
                <c:pt idx="5">
                  <c:v>6</c:v>
                </c:pt>
                <c:pt idx="6">
                  <c:v>4</c:v>
                </c:pt>
                <c:pt idx="7">
                  <c:v>9</c:v>
                </c:pt>
                <c:pt idx="8">
                  <c:v>2</c:v>
                </c:pt>
                <c:pt idx="9">
                  <c:v>1</c:v>
                </c:pt>
              </c:numCache>
            </c:numRef>
          </c:val>
        </c:ser>
        <c:gapWidth val="150"/>
        <c:overlap val="0"/>
        <c:axId val="26295188"/>
        <c:axId val="56964282"/>
      </c:barChart>
      <c:catAx>
        <c:axId val="2629518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964282"/>
        <c:crosses val="autoZero"/>
        <c:auto val="1"/>
        <c:lblAlgn val="ctr"/>
        <c:lblOffset val="100"/>
        <c:noMultiLvlLbl val="0"/>
      </c:catAx>
      <c:valAx>
        <c:axId val="5696428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29518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2a4a"/>
                </a:solidFill>
                <a:latin typeface="Calibri"/>
              </a:defRPr>
            </a:pPr>
            <a:r>
              <a:rPr b="1" sz="1100" spc="-1" strike="noStrike">
                <a:solidFill>
                  <a:srgbClr val="0b2a4a"/>
                </a:solidFill>
                <a:latin typeface="Calibri"/>
              </a:rPr>
              <a:t>شرائح التحصيل</a:t>
            </a:r>
          </a:p>
        </c:rich>
      </c:tx>
      <c:overlay val="0"/>
      <c:spPr>
        <a:noFill/>
        <a:ln w="0">
          <a:noFill/>
        </a:ln>
      </c:spPr>
    </c:title>
    <c:autoTitleDeleted val="0"/>
    <c:plotArea>
      <c:doughnutChart>
        <c:varyColors val="1"/>
        <c:ser>
          <c:idx val="0"/>
          <c:order val="0"/>
          <c:tx>
            <c:strRef>
              <c:f>"شرائح التحصيل"</c:f>
              <c:strCache>
                <c:ptCount val="1"/>
                <c:pt idx="0">
                  <c:v>شرائح التحصيل</c:v>
                </c:pt>
              </c:strCache>
            </c:strRef>
          </c:tx>
          <c:spPr>
            <a:solidFill>
              <a:srgbClr val="4f81bd"/>
            </a:solidFill>
            <a:ln w="0">
              <a:noFill/>
            </a:ln>
          </c:spPr>
          <c:explosion val="0"/>
          <c:dPt>
            <c:idx val="0"/>
            <c:spPr>
              <a:solidFill>
                <a:srgbClr val="c7aac4"/>
              </a:solidFill>
              <a:ln w="0">
                <a:noFill/>
              </a:ln>
            </c:spPr>
          </c:dPt>
          <c:dPt>
            <c:idx val="1"/>
            <c:spPr>
              <a:solidFill>
                <a:srgbClr val="63c2a6"/>
              </a:solidFill>
              <a:ln w="0">
                <a:noFill/>
              </a:ln>
            </c:spPr>
          </c:dPt>
          <c:dPt>
            <c:idx val="2"/>
            <c:spPr>
              <a:solidFill>
                <a:srgbClr val="2e8fea"/>
              </a:solidFill>
              <a:ln w="0">
                <a:noFill/>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1"/>
            <c:separator>
</c:separator>
            <c:showLeaderLines val="1"/>
          </c:dLbls>
          <c:cat>
            <c:strRef>
              <c:f>'تحليل صفي'!$B$52:$B$54</c:f>
              <c:strCache>
                <c:ptCount val="3"/>
                <c:pt idx="0">
                  <c:v>أقل من At</c:v>
                </c:pt>
                <c:pt idx="1">
                  <c:v>At (دون Above)</c:v>
                </c:pt>
                <c:pt idx="2">
                  <c:v>Above</c:v>
                </c:pt>
              </c:strCache>
            </c:strRef>
          </c:cat>
          <c:val>
            <c:numRef>
              <c:f>'تحليل صفي'!$C$52:$C$54</c:f>
              <c:numCache>
                <c:formatCode>General</c:formatCode>
                <c:ptCount val="3"/>
                <c:pt idx="0">
                  <c:v>4</c:v>
                </c:pt>
                <c:pt idx="1">
                  <c:v>9</c:v>
                </c:pt>
                <c:pt idx="2">
                  <c:v>16</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2a4a"/>
                </a:solidFill>
                <a:latin typeface="Calibri"/>
              </a:defRPr>
            </a:pPr>
            <a:r>
              <a:rPr b="1" sz="1100" spc="-1" strike="noStrike">
                <a:solidFill>
                  <a:srgbClr val="0b2a4a"/>
                </a:solidFill>
                <a:latin typeface="Calibri"/>
              </a:rPr>
              <a:t>تصنيف التقدم</a:t>
            </a:r>
          </a:p>
        </c:rich>
      </c:tx>
      <c:overlay val="0"/>
      <c:spPr>
        <a:noFill/>
        <a:ln w="0">
          <a:noFill/>
        </a:ln>
      </c:spPr>
    </c:title>
    <c:autoTitleDeleted val="0"/>
    <c:plotArea>
      <c:doughnutChart>
        <c:varyColors val="1"/>
        <c:ser>
          <c:idx val="0"/>
          <c:order val="0"/>
          <c:tx>
            <c:strRef>
              <c:f>"تصنيف التقدم"</c:f>
              <c:strCache>
                <c:ptCount val="1"/>
                <c:pt idx="0">
                  <c:v>تصنيف التقدم</c:v>
                </c:pt>
              </c:strCache>
            </c:strRef>
          </c:tx>
          <c:spPr>
            <a:solidFill>
              <a:srgbClr val="4f81bd"/>
            </a:solidFill>
            <a:ln w="0">
              <a:noFill/>
            </a:ln>
          </c:spPr>
          <c:explosion val="0"/>
          <c:dPt>
            <c:idx val="0"/>
            <c:spPr>
              <a:solidFill>
                <a:srgbClr val="e5483e"/>
              </a:solidFill>
              <a:ln w="0">
                <a:noFill/>
              </a:ln>
            </c:spPr>
          </c:dPt>
          <c:dPt>
            <c:idx val="1"/>
            <c:spPr>
              <a:solidFill>
                <a:srgbClr val="f6c945"/>
              </a:solidFill>
              <a:ln w="0">
                <a:noFill/>
              </a:ln>
            </c:spPr>
          </c:dPt>
          <c:dPt>
            <c:idx val="2"/>
            <c:spPr>
              <a:solidFill>
                <a:srgbClr val="3dbe6b"/>
              </a:solidFill>
              <a:ln w="0">
                <a:noFill/>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1"/>
            <c:separator>
</c:separator>
            <c:showLeaderLines val="1"/>
          </c:dLbls>
          <c:cat>
            <c:strRef>
              <c:f>'تحليل صفي'!$B$58:$B$60</c:f>
              <c:strCache>
                <c:ptCount val="3"/>
                <c:pt idx="0">
                  <c:v>Less Than Expected</c:v>
                </c:pt>
                <c:pt idx="1">
                  <c:v>Expected</c:v>
                </c:pt>
                <c:pt idx="2">
                  <c:v>Better Than Expected</c:v>
                </c:pt>
              </c:strCache>
            </c:strRef>
          </c:cat>
          <c:val>
            <c:numRef>
              <c:f>'تحليل صفي'!$C$58:$C$60</c:f>
              <c:numCache>
                <c:formatCode>General</c:formatCode>
                <c:ptCount val="3"/>
                <c:pt idx="0">
                  <c:v>3</c:v>
                </c:pt>
                <c:pt idx="1">
                  <c:v>7</c:v>
                </c:pt>
                <c:pt idx="2">
                  <c:v>16</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-198000</xdr:colOff>
      <xdr:row>36</xdr:row>
      <xdr:rowOff>0</xdr:rowOff>
    </xdr:from>
    <xdr:to>
      <xdr:col>14</xdr:col>
      <xdr:colOff>0</xdr:colOff>
      <xdr:row>49</xdr:row>
      <xdr:rowOff>7200</xdr:rowOff>
    </xdr:to>
    <xdr:graphicFrame>
      <xdr:nvGraphicFramePr>
        <xdr:cNvPr id="0" name="Chart 1"/>
        <xdr:cNvGraphicFramePr/>
      </xdr:nvGraphicFramePr>
      <xdr:xfrm>
        <a:off x="-9329400" y="9001080"/>
        <a:ext cx="4499640" cy="248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-469440</xdr:colOff>
      <xdr:row>50</xdr:row>
      <xdr:rowOff>0</xdr:rowOff>
    </xdr:from>
    <xdr:to>
      <xdr:col>8</xdr:col>
      <xdr:colOff>0</xdr:colOff>
      <xdr:row>62</xdr:row>
      <xdr:rowOff>17640</xdr:rowOff>
    </xdr:to>
    <xdr:graphicFrame>
      <xdr:nvGraphicFramePr>
        <xdr:cNvPr id="1" name="Chart 2"/>
        <xdr:cNvGraphicFramePr/>
      </xdr:nvGraphicFramePr>
      <xdr:xfrm>
        <a:off x="-5898600" y="11667960"/>
        <a:ext cx="2267640" cy="230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-469080</xdr:colOff>
      <xdr:row>50</xdr:row>
      <xdr:rowOff>0</xdr:rowOff>
    </xdr:from>
    <xdr:to>
      <xdr:col>13</xdr:col>
      <xdr:colOff>0</xdr:colOff>
      <xdr:row>62</xdr:row>
      <xdr:rowOff>17640</xdr:rowOff>
    </xdr:to>
    <xdr:graphicFrame>
      <xdr:nvGraphicFramePr>
        <xdr:cNvPr id="2" name="Chart 3"/>
        <xdr:cNvGraphicFramePr/>
      </xdr:nvGraphicFramePr>
      <xdr:xfrm>
        <a:off x="-8895600" y="11667960"/>
        <a:ext cx="2267640" cy="2303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99"/>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13" min="3" style="0" width="8.5"/>
    <col collapsed="false" customWidth="true" hidden="false" outlineLevel="0" max="14" min="14" style="0" width="10"/>
    <col collapsed="false" customWidth="true" hidden="true" outlineLevel="0" max="16" min="16" style="0" width="24"/>
    <col collapsed="false" customWidth="true" hidden="true" outlineLevel="0" max="17" min="17" style="0" width="10"/>
  </cols>
  <sheetData>
    <row r="1" customFormat="false" ht="24" hidden="false" customHeight="true" outlineLevel="0" collapsed="false">
      <c r="A1" s="1"/>
      <c r="B1" s="2" t="s">
        <v>0</v>
      </c>
      <c r="C1" s="2"/>
      <c r="D1" s="2"/>
      <c r="E1" s="2"/>
      <c r="F1" s="2"/>
      <c r="G1" s="2"/>
      <c r="H1" s="2"/>
      <c r="I1" s="2"/>
      <c r="J1" s="2"/>
      <c r="K1" s="2"/>
      <c r="L1" s="2"/>
      <c r="M1" s="2"/>
      <c r="N1" s="2"/>
      <c r="O1" s="1"/>
    </row>
    <row r="2" customFormat="false" ht="24" hidden="false" customHeight="true" outlineLevel="0" collapsed="false">
      <c r="A2" s="1"/>
      <c r="B2" s="2"/>
      <c r="C2" s="2"/>
      <c r="D2" s="2"/>
      <c r="E2" s="2"/>
      <c r="F2" s="2"/>
      <c r="G2" s="2"/>
      <c r="H2" s="2"/>
      <c r="I2" s="2"/>
      <c r="J2" s="2"/>
      <c r="K2" s="2"/>
      <c r="L2" s="2"/>
      <c r="M2" s="2"/>
      <c r="N2" s="2"/>
      <c r="O2" s="1"/>
    </row>
    <row r="3" customFormat="false" ht="15" hidden="false" customHeight="true" outlineLevel="0" collapsed="false">
      <c r="A3" s="1"/>
      <c r="B3" s="3" t="s">
        <v>1</v>
      </c>
      <c r="C3" s="3"/>
      <c r="D3" s="3"/>
      <c r="E3" s="3"/>
      <c r="F3" s="3"/>
      <c r="G3" s="3"/>
      <c r="H3" s="3"/>
      <c r="I3" s="3"/>
      <c r="J3" s="3"/>
      <c r="K3" s="3"/>
      <c r="L3" s="3"/>
      <c r="M3" s="3"/>
      <c r="N3" s="3"/>
      <c r="O3" s="1"/>
    </row>
    <row r="4" customFormat="false" ht="15" hidden="false" customHeight="true" outlineLevel="0" collapsed="false">
      <c r="A4" s="1"/>
      <c r="B4" s="4" t="s">
        <v>2</v>
      </c>
      <c r="C4" s="5" t="s">
        <v>3</v>
      </c>
      <c r="D4" s="5"/>
      <c r="E4" s="5"/>
      <c r="F4" s="4" t="s">
        <v>4</v>
      </c>
      <c r="G4" s="5" t="s">
        <v>5</v>
      </c>
      <c r="H4" s="5"/>
      <c r="I4" s="5"/>
      <c r="J4" s="4" t="s">
        <v>6</v>
      </c>
      <c r="K4" s="5" t="s">
        <v>7</v>
      </c>
      <c r="L4" s="5"/>
      <c r="M4" s="5"/>
      <c r="N4" s="5"/>
      <c r="O4" s="1"/>
    </row>
    <row r="5" customFormat="false" ht="15" hidden="false" customHeight="false" outlineLevel="0" collapsed="false">
      <c r="A5" s="1"/>
      <c r="B5" s="1"/>
      <c r="C5" s="1"/>
      <c r="D5" s="1"/>
      <c r="E5" s="1"/>
      <c r="F5" s="1"/>
      <c r="G5" s="1"/>
      <c r="H5" s="1"/>
      <c r="I5" s="1"/>
      <c r="J5" s="1"/>
      <c r="K5" s="1"/>
      <c r="L5" s="1"/>
      <c r="M5" s="1"/>
      <c r="N5" s="1"/>
      <c r="O5" s="1"/>
    </row>
    <row r="6" customFormat="false" ht="21.75" hidden="false" customHeight="true" outlineLevel="0" collapsed="false">
      <c r="A6" s="1"/>
      <c r="B6" s="6" t="s">
        <v>8</v>
      </c>
      <c r="C6" s="6"/>
      <c r="D6" s="6"/>
      <c r="E6" s="6"/>
      <c r="F6" s="6"/>
      <c r="G6" s="6"/>
      <c r="H6" s="6"/>
      <c r="I6" s="6"/>
      <c r="J6" s="6"/>
      <c r="K6" s="6"/>
      <c r="L6" s="6"/>
      <c r="M6" s="6"/>
      <c r="N6" s="6"/>
      <c r="O6" s="1"/>
    </row>
    <row r="7" customFormat="false" ht="42" hidden="false" customHeight="true" outlineLevel="0" collapsed="false">
      <c r="A7" s="1"/>
      <c r="B7" s="7" t="s">
        <v>9</v>
      </c>
      <c r="C7" s="7"/>
      <c r="D7" s="7"/>
      <c r="E7" s="7"/>
      <c r="F7" s="7"/>
      <c r="G7" s="7"/>
      <c r="H7" s="7"/>
      <c r="I7" s="7"/>
      <c r="J7" s="7"/>
      <c r="K7" s="7"/>
      <c r="L7" s="7"/>
      <c r="M7" s="7"/>
      <c r="N7" s="7"/>
      <c r="O7" s="1"/>
      <c r="P7" s="8" t="s">
        <v>10</v>
      </c>
    </row>
    <row r="8" customFormat="false" ht="15" hidden="false" customHeight="false" outlineLevel="0" collapsed="false">
      <c r="A8" s="1"/>
      <c r="B8" s="9" t="s">
        <v>11</v>
      </c>
      <c r="C8" s="10" t="s">
        <v>12</v>
      </c>
      <c r="D8" s="10" t="s">
        <v>13</v>
      </c>
      <c r="E8" s="10" t="s">
        <v>14</v>
      </c>
      <c r="F8" s="10" t="s">
        <v>15</v>
      </c>
      <c r="G8" s="10" t="s">
        <v>16</v>
      </c>
      <c r="H8" s="10" t="s">
        <v>17</v>
      </c>
      <c r="I8" s="10" t="s">
        <v>18</v>
      </c>
      <c r="J8" s="10" t="s">
        <v>19</v>
      </c>
      <c r="K8" s="10" t="s">
        <v>20</v>
      </c>
      <c r="L8" s="10" t="s">
        <v>21</v>
      </c>
      <c r="M8" s="10" t="s">
        <v>22</v>
      </c>
      <c r="N8" s="9" t="s">
        <v>23</v>
      </c>
      <c r="O8" s="1"/>
      <c r="P8" s="11" t="s">
        <v>24</v>
      </c>
      <c r="Q8" s="12" t="n">
        <f aca="false">SUM(C9:L19)</f>
        <v>29</v>
      </c>
    </row>
    <row r="9" customFormat="false" ht="15" hidden="false" customHeight="false" outlineLevel="0" collapsed="false">
      <c r="A9" s="1"/>
      <c r="B9" s="13" t="s">
        <v>25</v>
      </c>
      <c r="C9" s="14"/>
      <c r="D9" s="14"/>
      <c r="E9" s="14"/>
      <c r="F9" s="14"/>
      <c r="G9" s="14"/>
      <c r="H9" s="14"/>
      <c r="I9" s="14" t="n">
        <v>2</v>
      </c>
      <c r="J9" s="14"/>
      <c r="K9" s="14"/>
      <c r="L9" s="14"/>
      <c r="M9" s="14"/>
      <c r="N9" s="15" t="n">
        <f aca="false">SUM(C9:M9)</f>
        <v>2</v>
      </c>
      <c r="O9" s="1"/>
      <c r="P9" s="11" t="s">
        <v>26</v>
      </c>
      <c r="Q9" s="12" t="n">
        <f aca="false">SUMPRODUCT(($C$21:$L$21&gt;=$D$71)*$C$20:$L$20)</f>
        <v>25</v>
      </c>
    </row>
    <row r="10" customFormat="false" ht="15" hidden="false" customHeight="false" outlineLevel="0" collapsed="false">
      <c r="A10" s="1"/>
      <c r="B10" s="10" t="s">
        <v>12</v>
      </c>
      <c r="C10" s="14"/>
      <c r="D10" s="14"/>
      <c r="E10" s="14"/>
      <c r="F10" s="14"/>
      <c r="G10" s="14"/>
      <c r="H10" s="14"/>
      <c r="I10" s="14"/>
      <c r="J10" s="14"/>
      <c r="K10" s="14"/>
      <c r="L10" s="14"/>
      <c r="M10" s="14"/>
      <c r="N10" s="15" t="n">
        <f aca="false">SUM(C10:M10)</f>
        <v>0</v>
      </c>
      <c r="O10" s="1"/>
      <c r="P10" s="11" t="s">
        <v>27</v>
      </c>
      <c r="Q10" s="12" t="n">
        <f aca="false">SUMPRODUCT(($C$21:$L$21&gt;=$D$72)*$C$20:$L$20)</f>
        <v>16</v>
      </c>
    </row>
    <row r="11" customFormat="false" ht="15" hidden="false" customHeight="false" outlineLevel="0" collapsed="false">
      <c r="A11" s="1"/>
      <c r="B11" s="10" t="s">
        <v>13</v>
      </c>
      <c r="C11" s="14"/>
      <c r="D11" s="14"/>
      <c r="E11" s="14"/>
      <c r="F11" s="14"/>
      <c r="G11" s="14"/>
      <c r="H11" s="14"/>
      <c r="I11" s="14"/>
      <c r="J11" s="14"/>
      <c r="K11" s="14"/>
      <c r="L11" s="14"/>
      <c r="M11" s="14"/>
      <c r="N11" s="15" t="n">
        <f aca="false">SUM(C11:M11)</f>
        <v>0</v>
      </c>
      <c r="O11" s="1"/>
      <c r="P11" s="11" t="s">
        <v>28</v>
      </c>
      <c r="Q11" s="12" t="n">
        <f aca="false">SUMPRODUCT(($D$84:$L$92="Less")*$D$11:$L$19)</f>
        <v>3</v>
      </c>
    </row>
    <row r="12" customFormat="false" ht="15" hidden="false" customHeight="false" outlineLevel="0" collapsed="false">
      <c r="A12" s="1"/>
      <c r="B12" s="10" t="s">
        <v>14</v>
      </c>
      <c r="C12" s="14"/>
      <c r="D12" s="14"/>
      <c r="E12" s="14"/>
      <c r="F12" s="14"/>
      <c r="G12" s="14"/>
      <c r="H12" s="14"/>
      <c r="I12" s="14"/>
      <c r="J12" s="14"/>
      <c r="K12" s="14"/>
      <c r="L12" s="14"/>
      <c r="M12" s="14"/>
      <c r="N12" s="15" t="n">
        <f aca="false">SUM(C12:M12)</f>
        <v>0</v>
      </c>
      <c r="O12" s="1"/>
      <c r="P12" s="11" t="s">
        <v>29</v>
      </c>
      <c r="Q12" s="12" t="n">
        <f aca="false">SUMPRODUCT(($D$84:$L$92="Expected")*$D$11:$L$19)</f>
        <v>7</v>
      </c>
    </row>
    <row r="13" customFormat="false" ht="15" hidden="false" customHeight="false" outlineLevel="0" collapsed="false">
      <c r="A13" s="1"/>
      <c r="B13" s="10" t="s">
        <v>15</v>
      </c>
      <c r="C13" s="14"/>
      <c r="D13" s="14"/>
      <c r="E13" s="14" t="n">
        <v>1</v>
      </c>
      <c r="F13" s="14"/>
      <c r="G13" s="14" t="n">
        <v>1</v>
      </c>
      <c r="H13" s="14"/>
      <c r="I13" s="14"/>
      <c r="J13" s="14"/>
      <c r="K13" s="14"/>
      <c r="L13" s="14"/>
      <c r="M13" s="14"/>
      <c r="N13" s="15" t="n">
        <f aca="false">SUM(C13:M13)</f>
        <v>2</v>
      </c>
      <c r="O13" s="1"/>
      <c r="P13" s="11" t="s">
        <v>30</v>
      </c>
      <c r="Q13" s="12" t="n">
        <f aca="false">SUMPRODUCT(($D$84:$L$92="Better")*$D$11:$L$19)</f>
        <v>16</v>
      </c>
    </row>
    <row r="14" customFormat="false" ht="15" hidden="false" customHeight="false" outlineLevel="0" collapsed="false">
      <c r="A14" s="1"/>
      <c r="B14" s="10" t="s">
        <v>16</v>
      </c>
      <c r="C14" s="14" t="n">
        <v>1</v>
      </c>
      <c r="D14" s="14"/>
      <c r="E14" s="14"/>
      <c r="F14" s="14" t="n">
        <v>2</v>
      </c>
      <c r="G14" s="14"/>
      <c r="H14" s="14" t="n">
        <v>2</v>
      </c>
      <c r="I14" s="14"/>
      <c r="J14" s="14"/>
      <c r="K14" s="14"/>
      <c r="L14" s="14"/>
      <c r="M14" s="14" t="n">
        <v>1</v>
      </c>
      <c r="N14" s="15" t="n">
        <f aca="false">SUM(C14:M14)</f>
        <v>6</v>
      </c>
      <c r="O14" s="1"/>
      <c r="P14" s="11" t="s">
        <v>31</v>
      </c>
      <c r="Q14" s="12" t="n">
        <f aca="false">SUM(C10:L10)+SUM(C11:C19)</f>
        <v>1</v>
      </c>
    </row>
    <row r="15" customFormat="false" ht="15" hidden="false" customHeight="false" outlineLevel="0" collapsed="false">
      <c r="A15" s="1"/>
      <c r="B15" s="10" t="s">
        <v>17</v>
      </c>
      <c r="C15" s="14"/>
      <c r="D15" s="14"/>
      <c r="E15" s="14"/>
      <c r="F15" s="14"/>
      <c r="G15" s="14" t="n">
        <v>2</v>
      </c>
      <c r="H15" s="14" t="n">
        <v>2</v>
      </c>
      <c r="I15" s="14" t="n">
        <v>1</v>
      </c>
      <c r="J15" s="14" t="n">
        <v>2</v>
      </c>
      <c r="K15" s="14"/>
      <c r="L15" s="14"/>
      <c r="M15" s="14"/>
      <c r="N15" s="15" t="n">
        <f aca="false">SUM(C15:M15)</f>
        <v>7</v>
      </c>
      <c r="O15" s="1"/>
      <c r="P15" s="11" t="s">
        <v>25</v>
      </c>
      <c r="Q15" s="12" t="n">
        <f aca="false">SUM(C9:L9)</f>
        <v>2</v>
      </c>
    </row>
    <row r="16" customFormat="false" ht="15" hidden="false" customHeight="false" outlineLevel="0" collapsed="false">
      <c r="A16" s="1"/>
      <c r="B16" s="10" t="s">
        <v>18</v>
      </c>
      <c r="C16" s="14"/>
      <c r="D16" s="14"/>
      <c r="E16" s="14"/>
      <c r="F16" s="14"/>
      <c r="G16" s="14"/>
      <c r="H16" s="14" t="n">
        <v>2</v>
      </c>
      <c r="I16" s="14"/>
      <c r="J16" s="14" t="n">
        <v>4</v>
      </c>
      <c r="K16" s="14" t="n">
        <v>1</v>
      </c>
      <c r="L16" s="14"/>
      <c r="M16" s="14"/>
      <c r="N16" s="15" t="n">
        <f aca="false">SUM(C16:M16)</f>
        <v>7</v>
      </c>
      <c r="O16" s="1"/>
      <c r="P16" s="11" t="s">
        <v>32</v>
      </c>
      <c r="Q16" s="12" t="n">
        <f aca="false">SUM(M9:M19)</f>
        <v>1</v>
      </c>
    </row>
    <row r="17" customFormat="false" ht="15" hidden="false" customHeight="false" outlineLevel="0" collapsed="false">
      <c r="A17" s="1"/>
      <c r="B17" s="10" t="s">
        <v>19</v>
      </c>
      <c r="C17" s="14"/>
      <c r="D17" s="14"/>
      <c r="E17" s="14"/>
      <c r="F17" s="14"/>
      <c r="G17" s="14"/>
      <c r="H17" s="14"/>
      <c r="I17" s="14" t="n">
        <v>1</v>
      </c>
      <c r="J17" s="14" t="n">
        <v>3</v>
      </c>
      <c r="K17" s="14" t="n">
        <v>1</v>
      </c>
      <c r="L17" s="14" t="n">
        <v>1</v>
      </c>
      <c r="M17" s="14"/>
      <c r="N17" s="15" t="n">
        <f aca="false">SUM(C17:M17)</f>
        <v>6</v>
      </c>
      <c r="O17" s="1"/>
      <c r="P17" s="11" t="s">
        <v>33</v>
      </c>
      <c r="Q17" s="12" t="n">
        <f aca="false">$Q$11+$Q$12+$Q$13</f>
        <v>26</v>
      </c>
    </row>
    <row r="18" customFormat="false" ht="15" hidden="false" customHeight="false" outlineLevel="0" collapsed="false">
      <c r="A18" s="1"/>
      <c r="B18" s="10" t="s">
        <v>20</v>
      </c>
      <c r="C18" s="14"/>
      <c r="D18" s="14"/>
      <c r="E18" s="14"/>
      <c r="F18" s="14"/>
      <c r="G18" s="14"/>
      <c r="H18" s="14"/>
      <c r="I18" s="14"/>
      <c r="J18" s="14"/>
      <c r="K18" s="14"/>
      <c r="L18" s="14"/>
      <c r="M18" s="14"/>
      <c r="N18" s="15" t="n">
        <f aca="false">SUM(C18:M18)</f>
        <v>0</v>
      </c>
      <c r="O18" s="1"/>
    </row>
    <row r="19" customFormat="false" ht="15" hidden="false" customHeight="false" outlineLevel="0" collapsed="false">
      <c r="A19" s="1"/>
      <c r="B19" s="10" t="s">
        <v>21</v>
      </c>
      <c r="C19" s="14"/>
      <c r="D19" s="14"/>
      <c r="E19" s="14"/>
      <c r="F19" s="14"/>
      <c r="G19" s="14"/>
      <c r="H19" s="14"/>
      <c r="I19" s="14"/>
      <c r="J19" s="14"/>
      <c r="K19" s="14"/>
      <c r="L19" s="14"/>
      <c r="M19" s="14"/>
      <c r="N19" s="15" t="n">
        <f aca="false">SUM(C19:M19)</f>
        <v>0</v>
      </c>
      <c r="O19" s="1"/>
    </row>
    <row r="20" customFormat="false" ht="15" hidden="false" customHeight="false" outlineLevel="0" collapsed="false">
      <c r="A20" s="1"/>
      <c r="B20" s="15" t="s">
        <v>23</v>
      </c>
      <c r="C20" s="15" t="n">
        <f aca="false">SUM(C9:C19)</f>
        <v>1</v>
      </c>
      <c r="D20" s="15" t="n">
        <f aca="false">SUM(D9:D19)</f>
        <v>0</v>
      </c>
      <c r="E20" s="15" t="n">
        <f aca="false">SUM(E9:E19)</f>
        <v>1</v>
      </c>
      <c r="F20" s="15" t="n">
        <f aca="false">SUM(F9:F19)</f>
        <v>2</v>
      </c>
      <c r="G20" s="15" t="n">
        <f aca="false">SUM(G9:G19)</f>
        <v>3</v>
      </c>
      <c r="H20" s="15" t="n">
        <f aca="false">SUM(H9:H19)</f>
        <v>6</v>
      </c>
      <c r="I20" s="15" t="n">
        <f aca="false">SUM(I9:I19)</f>
        <v>4</v>
      </c>
      <c r="J20" s="15" t="n">
        <f aca="false">SUM(J9:J19)</f>
        <v>9</v>
      </c>
      <c r="K20" s="15" t="n">
        <f aca="false">SUM(K9:K19)</f>
        <v>2</v>
      </c>
      <c r="L20" s="15" t="n">
        <f aca="false">SUM(L9:L19)</f>
        <v>1</v>
      </c>
      <c r="M20" s="15" t="n">
        <f aca="false">SUM(M9:M19)</f>
        <v>1</v>
      </c>
      <c r="N20" s="15" t="n">
        <f aca="false">SUM(C20:M20)</f>
        <v>30</v>
      </c>
      <c r="O20" s="1"/>
    </row>
    <row r="21" customFormat="false" ht="15" hidden="false" customHeight="false" outlineLevel="0" collapsed="false">
      <c r="A21" s="1"/>
      <c r="B21" s="16" t="s">
        <v>34</v>
      </c>
      <c r="C21" s="16" t="n">
        <v>1</v>
      </c>
      <c r="D21" s="16" t="n">
        <v>2</v>
      </c>
      <c r="E21" s="16" t="n">
        <v>3</v>
      </c>
      <c r="F21" s="16" t="n">
        <v>4</v>
      </c>
      <c r="G21" s="16" t="n">
        <v>5</v>
      </c>
      <c r="H21" s="16" t="n">
        <v>6</v>
      </c>
      <c r="I21" s="16" t="n">
        <v>7</v>
      </c>
      <c r="J21" s="16" t="n">
        <v>8</v>
      </c>
      <c r="K21" s="16" t="n">
        <v>9</v>
      </c>
      <c r="L21" s="16" t="n">
        <v>10</v>
      </c>
      <c r="M21" s="1"/>
      <c r="N21" s="1"/>
      <c r="O21" s="1"/>
    </row>
    <row r="22" customFormat="false" ht="15" hidden="false" customHeight="false" outlineLevel="0" collapsed="false">
      <c r="A22" s="1"/>
      <c r="B22" s="1"/>
      <c r="C22" s="1"/>
      <c r="D22" s="1"/>
      <c r="E22" s="1"/>
      <c r="F22" s="1"/>
      <c r="G22" s="1"/>
      <c r="H22" s="1"/>
      <c r="I22" s="1"/>
      <c r="J22" s="1"/>
      <c r="K22" s="1"/>
      <c r="L22" s="1"/>
      <c r="M22" s="1"/>
      <c r="N22" s="1"/>
      <c r="O22" s="1"/>
    </row>
    <row r="23" customFormat="false" ht="21.75" hidden="false" customHeight="true" outlineLevel="0" collapsed="false">
      <c r="A23" s="1"/>
      <c r="B23" s="6" t="s">
        <v>35</v>
      </c>
      <c r="C23" s="6"/>
      <c r="D23" s="6"/>
      <c r="E23" s="6"/>
      <c r="F23" s="6"/>
      <c r="G23" s="6"/>
      <c r="H23" s="6"/>
      <c r="I23" s="6"/>
      <c r="J23" s="6"/>
      <c r="K23" s="6"/>
      <c r="L23" s="6"/>
      <c r="M23" s="6"/>
      <c r="N23" s="6"/>
      <c r="O23" s="1"/>
    </row>
    <row r="24" customFormat="false" ht="27.75" hidden="false" customHeight="true" outlineLevel="0" collapsed="false">
      <c r="A24" s="1"/>
      <c r="B24" s="4" t="s">
        <v>24</v>
      </c>
      <c r="C24" s="4"/>
      <c r="D24" s="4" t="s">
        <v>26</v>
      </c>
      <c r="E24" s="4"/>
      <c r="F24" s="4"/>
      <c r="G24" s="4" t="s">
        <v>27</v>
      </c>
      <c r="H24" s="4"/>
      <c r="I24" s="4"/>
      <c r="J24" s="4" t="s">
        <v>36</v>
      </c>
      <c r="K24" s="4"/>
      <c r="L24" s="4"/>
      <c r="M24" s="4" t="s">
        <v>37</v>
      </c>
      <c r="N24" s="4"/>
      <c r="O24" s="1"/>
    </row>
    <row r="25" customFormat="false" ht="33.75" hidden="false" customHeight="true" outlineLevel="0" collapsed="false">
      <c r="A25" s="1"/>
      <c r="B25" s="17" t="n">
        <f aca="false">$Q$8</f>
        <v>29</v>
      </c>
      <c r="C25" s="17"/>
      <c r="D25" s="18" t="n">
        <f aca="false">IF($Q$8=0,"أدخل الأعداد",$Q$9/$Q$8)</f>
        <v>0.862068965517241</v>
      </c>
      <c r="E25" s="18"/>
      <c r="F25" s="18"/>
      <c r="G25" s="18" t="n">
        <f aca="false">IF($Q$8=0,"أدخل الأعداد",$Q$10/$Q$8)</f>
        <v>0.551724137931035</v>
      </c>
      <c r="H25" s="18"/>
      <c r="I25" s="18"/>
      <c r="J25" s="19" t="str">
        <f aca="false">IF($Q$8=0,"أدخل الأعداد",IF(ROUND($Q$9/$Q$8,10)&lt;=$C$75,"Very Weak",IF(ROUND($Q$9/$Q$8,10)&lt;$C$76,"Weak",IF(ROUND($Q$10/$Q$8,10)&lt;$C$77,"Acceptable",IF(ROUND($Q$10/$Q$8,10)&lt;=$C$78,"Good",IF(ROUND($Q$10/$Q$8,10)&lt;$C$79,"Very Good","Outstanding"))))))</f>
        <v>Good</v>
      </c>
      <c r="K25" s="19"/>
      <c r="L25" s="19"/>
      <c r="M25" s="17" t="n">
        <f aca="false">$Q$16</f>
        <v>1</v>
      </c>
      <c r="N25" s="17"/>
      <c r="O25" s="1"/>
    </row>
    <row r="26" customFormat="false" ht="18" hidden="false" customHeight="true" outlineLevel="0" collapsed="false">
      <c r="A26" s="1"/>
      <c r="B26" s="20" t="str">
        <f aca="false">"من أصل "&amp;N20&amp;" مُدخل"</f>
        <v>من أصل 30 مُدخل</v>
      </c>
      <c r="C26" s="20"/>
      <c r="D26" s="20" t="str">
        <f aca="false">IF($Q$8=0,"",$Q$9&amp;" طالب")</f>
        <v>25 طالب</v>
      </c>
      <c r="E26" s="20"/>
      <c r="F26" s="20"/>
      <c r="G26" s="20" t="str">
        <f aca="false">IF($Q$8=0,"",$Q$10&amp;" طالب")</f>
        <v>16 طالب</v>
      </c>
      <c r="H26" s="20"/>
      <c r="I26" s="20"/>
      <c r="J26" s="20" t="s">
        <v>38</v>
      </c>
      <c r="K26" s="20"/>
      <c r="L26" s="20"/>
      <c r="M26" s="20" t="s">
        <v>39</v>
      </c>
      <c r="N26" s="20"/>
      <c r="O26" s="1"/>
    </row>
    <row r="27" customFormat="false" ht="15" hidden="false" customHeight="false" outlineLevel="0" collapsed="false">
      <c r="A27" s="1"/>
      <c r="B27" s="1"/>
      <c r="C27" s="1"/>
      <c r="D27" s="1"/>
      <c r="E27" s="1"/>
      <c r="F27" s="1"/>
      <c r="G27" s="1"/>
      <c r="H27" s="1"/>
      <c r="I27" s="1"/>
      <c r="J27" s="1"/>
      <c r="K27" s="1"/>
      <c r="L27" s="1"/>
      <c r="M27" s="1"/>
      <c r="N27" s="1"/>
      <c r="O27" s="1"/>
    </row>
    <row r="28" customFormat="false" ht="27.75" hidden="false" customHeight="true" outlineLevel="0" collapsed="false">
      <c r="A28" s="1"/>
      <c r="B28" s="4" t="s">
        <v>40</v>
      </c>
      <c r="C28" s="4"/>
      <c r="D28" s="21" t="s">
        <v>41</v>
      </c>
      <c r="E28" s="21"/>
      <c r="F28" s="21"/>
      <c r="G28" s="22" t="s">
        <v>29</v>
      </c>
      <c r="H28" s="22"/>
      <c r="I28" s="22"/>
      <c r="J28" s="23" t="s">
        <v>42</v>
      </c>
      <c r="K28" s="23"/>
      <c r="L28" s="23"/>
      <c r="M28" s="4" t="s">
        <v>43</v>
      </c>
      <c r="N28" s="4"/>
      <c r="O28" s="1"/>
    </row>
    <row r="29" customFormat="false" ht="33.75" hidden="false" customHeight="true" outlineLevel="0" collapsed="false">
      <c r="A29" s="1"/>
      <c r="B29" s="17" t="n">
        <f aca="false">$Q$17</f>
        <v>26</v>
      </c>
      <c r="C29" s="17"/>
      <c r="D29" s="18" t="n">
        <f aca="false">IF($Q$17=0,"أدخل الأعداد",$Q$11/$Q$17)</f>
        <v>0.115384615384615</v>
      </c>
      <c r="E29" s="18"/>
      <c r="F29" s="18"/>
      <c r="G29" s="18" t="n">
        <f aca="false">IF($Q$17=0,"أدخل الأعداد",$Q$12/$Q$17)</f>
        <v>0.269230769230769</v>
      </c>
      <c r="H29" s="18"/>
      <c r="I29" s="18"/>
      <c r="J29" s="18" t="n">
        <f aca="false">IF($Q$17=0,"أدخل الأعداد",$Q$13/$Q$17)</f>
        <v>0.615384615384615</v>
      </c>
      <c r="K29" s="18"/>
      <c r="L29" s="18"/>
      <c r="M29" s="18" t="n">
        <f aca="false">IF($Q$17=0,"أدخل الأعداد",($Q$12+$Q$13)/$Q$17)</f>
        <v>0.884615384615385</v>
      </c>
      <c r="N29" s="18"/>
      <c r="O29" s="1"/>
    </row>
    <row r="30" customFormat="false" ht="18" hidden="false" customHeight="true" outlineLevel="0" collapsed="false">
      <c r="A30" s="1"/>
      <c r="B30" s="20" t="str">
        <f aca="false">"بدون Start: "&amp;$Q$15&amp;" · U: "&amp;$Q$14</f>
        <v>بدون Start: 2 · U: 1</v>
      </c>
      <c r="C30" s="20"/>
      <c r="D30" s="20" t="str">
        <f aca="false">IF($Q$17=0,"",$Q$11&amp;" طالب")</f>
        <v>3 طالب</v>
      </c>
      <c r="E30" s="20"/>
      <c r="F30" s="20"/>
      <c r="G30" s="20" t="str">
        <f aca="false">IF($Q$17=0,"",$Q$12&amp;" طالب")</f>
        <v>7 طالب</v>
      </c>
      <c r="H30" s="20"/>
      <c r="I30" s="20"/>
      <c r="J30" s="20" t="str">
        <f aca="false">IF($Q$17=0,"",$Q$13&amp;" طالب")</f>
        <v>16 طالب</v>
      </c>
      <c r="K30" s="20"/>
      <c r="L30" s="20"/>
      <c r="M30" s="20" t="str">
        <f aca="false">IF($Q$17=0,"",($Q$12+$Q$13)&amp;" طالب")</f>
        <v>23 طالب</v>
      </c>
      <c r="N30" s="20"/>
      <c r="O30" s="1"/>
    </row>
    <row r="31" customFormat="false" ht="15" hidden="false" customHeight="false" outlineLevel="0" collapsed="false">
      <c r="A31" s="1"/>
      <c r="B31" s="1"/>
      <c r="C31" s="1"/>
      <c r="D31" s="1"/>
      <c r="E31" s="1"/>
      <c r="F31" s="1"/>
      <c r="G31" s="1"/>
      <c r="H31" s="1"/>
      <c r="I31" s="1"/>
      <c r="J31" s="1"/>
      <c r="K31" s="1"/>
      <c r="L31" s="1"/>
      <c r="M31" s="1"/>
      <c r="N31" s="1"/>
      <c r="O31" s="1"/>
    </row>
    <row r="32" customFormat="false" ht="27.75" hidden="false" customHeight="true" outlineLevel="0" collapsed="false">
      <c r="A32" s="1"/>
      <c r="B32" s="4" t="s">
        <v>44</v>
      </c>
      <c r="C32" s="4"/>
      <c r="D32" s="24" t="str">
        <f aca="false">"ملاحظات: التقدم يُحسب بالبحث في مصفوفة التقدم عن Start Point والعلامة الحالية. U غير موجودة في المصفوفة فتُستبعد من التقدم ("&amp;$Q$14&amp;" طالب) ولكنها تدخل التحصيل. من بلا Start ("&amp;$Q$15&amp;") يدخل التحصيل فقط. من لا نتيجة له (NR) لا يدخل أي حساب."</f>
        <v>ملاحظات: التقدم يُحسب بالبحث في مصفوفة التقدم عن Start Point والعلامة الحالية. U غير موجودة في المصفوفة فتُستبعد من التقدم (1 طالب) ولكنها تدخل التحصيل. من بلا Start (2) يدخل التحصيل فقط. من لا نتيجة له (NR) لا يدخل أي حساب.</v>
      </c>
      <c r="E32" s="24"/>
      <c r="F32" s="24"/>
      <c r="G32" s="24"/>
      <c r="H32" s="24"/>
      <c r="I32" s="24"/>
      <c r="J32" s="24"/>
      <c r="K32" s="24"/>
      <c r="L32" s="24"/>
      <c r="M32" s="24"/>
      <c r="N32" s="24"/>
      <c r="O32" s="1"/>
    </row>
    <row r="33" customFormat="false" ht="33.75" hidden="false" customHeight="true" outlineLevel="0" collapsed="false">
      <c r="A33" s="1"/>
      <c r="B33" s="19" t="str">
        <f aca="false">IF($Q$17=0,"أدخل الأعداد",IF(ROUND(($Q$12+$Q$13)/$Q$17,10)&lt;=$D$75,"Very Weak",IF(ROUND(($Q$12+$Q$13)/$Q$17,10)&lt;$D$76,"Weak",IF(ROUND($Q$13/$Q$17,10)&lt;$D$77,"Acceptable",IF(ROUND($Q$13/$Q$17,10)&lt;=$D$78,"Good",IF(ROUND($Q$13/$Q$17,10)&lt;$D$79,"Very Good","Outstanding"))))))</f>
        <v>Very Good</v>
      </c>
      <c r="C33" s="19"/>
      <c r="D33" s="24"/>
      <c r="E33" s="24"/>
      <c r="F33" s="24"/>
      <c r="G33" s="24"/>
      <c r="H33" s="24"/>
      <c r="I33" s="24"/>
      <c r="J33" s="24"/>
      <c r="K33" s="24"/>
      <c r="L33" s="24"/>
      <c r="M33" s="24"/>
      <c r="N33" s="24"/>
      <c r="O33" s="1"/>
    </row>
    <row r="34" customFormat="false" ht="18" hidden="false" customHeight="true" outlineLevel="0" collapsed="false">
      <c r="A34" s="1"/>
      <c r="B34" s="20" t="s">
        <v>45</v>
      </c>
      <c r="C34" s="20"/>
      <c r="D34" s="24"/>
      <c r="E34" s="24"/>
      <c r="F34" s="24"/>
      <c r="G34" s="24"/>
      <c r="H34" s="24"/>
      <c r="I34" s="24"/>
      <c r="J34" s="24"/>
      <c r="K34" s="24"/>
      <c r="L34" s="24"/>
      <c r="M34" s="24"/>
      <c r="N34" s="24"/>
      <c r="O34" s="1"/>
    </row>
    <row r="35" customFormat="false" ht="15" hidden="false" customHeight="false" outlineLevel="0" collapsed="false">
      <c r="A35" s="1"/>
      <c r="B35" s="1"/>
      <c r="C35" s="1"/>
      <c r="D35" s="1"/>
      <c r="E35" s="1"/>
      <c r="F35" s="1"/>
      <c r="G35" s="1"/>
      <c r="H35" s="1"/>
      <c r="I35" s="1"/>
      <c r="J35" s="1"/>
      <c r="K35" s="1"/>
      <c r="L35" s="1"/>
      <c r="M35" s="1"/>
      <c r="N35" s="1"/>
      <c r="O35" s="1"/>
    </row>
    <row r="36" customFormat="false" ht="21.75" hidden="false" customHeight="true" outlineLevel="0" collapsed="false">
      <c r="A36" s="1"/>
      <c r="B36" s="6" t="s">
        <v>46</v>
      </c>
      <c r="C36" s="6"/>
      <c r="D36" s="6"/>
      <c r="E36" s="6"/>
      <c r="F36" s="6"/>
      <c r="G36" s="6"/>
      <c r="H36" s="6"/>
      <c r="I36" s="6"/>
      <c r="J36" s="6"/>
      <c r="K36" s="6"/>
      <c r="L36" s="6"/>
      <c r="M36" s="6"/>
      <c r="N36" s="6"/>
      <c r="O36" s="1"/>
    </row>
    <row r="37" customFormat="false" ht="15" hidden="false" customHeight="false" outlineLevel="0" collapsed="false">
      <c r="A37" s="1"/>
      <c r="B37" s="9" t="s">
        <v>47</v>
      </c>
      <c r="C37" s="9" t="s">
        <v>48</v>
      </c>
      <c r="D37" s="9" t="s">
        <v>49</v>
      </c>
      <c r="E37" s="9" t="s">
        <v>50</v>
      </c>
      <c r="F37" s="25" t="s">
        <v>51</v>
      </c>
      <c r="G37" s="1"/>
      <c r="H37" s="1"/>
      <c r="I37" s="1"/>
      <c r="J37" s="1"/>
      <c r="K37" s="1"/>
      <c r="L37" s="1"/>
      <c r="M37" s="1"/>
      <c r="N37" s="1"/>
      <c r="O37" s="1"/>
    </row>
    <row r="38" customFormat="false" ht="15" hidden="false" customHeight="false" outlineLevel="0" collapsed="false">
      <c r="A38" s="1"/>
      <c r="B38" s="26" t="s">
        <v>12</v>
      </c>
      <c r="C38" s="27" t="n">
        <f aca="false">C20</f>
        <v>1</v>
      </c>
      <c r="D38" s="28" t="n">
        <f aca="false">IF($Q$8=0,"—",C38/$Q$8)</f>
        <v>0.0344827586206897</v>
      </c>
      <c r="E38" s="27" t="str">
        <f aca="false">IF(MATCH(B38,$C$8:$L$8,0)&gt;=$D$72,"Above",IF(MATCH(B38,$C$8:$L$8,0)&gt;=$D$71,"At","—"))</f>
        <v>—</v>
      </c>
      <c r="F38" s="25" t="str">
        <f aca="false">B38&amp;_xlfn.UNICHAR(8206)</f>
        <v>U‎</v>
      </c>
      <c r="G38" s="1"/>
      <c r="H38" s="1"/>
      <c r="I38" s="1"/>
      <c r="J38" s="1"/>
      <c r="K38" s="1"/>
      <c r="L38" s="1"/>
      <c r="M38" s="1"/>
      <c r="N38" s="1"/>
      <c r="O38" s="1"/>
    </row>
    <row r="39" customFormat="false" ht="15" hidden="false" customHeight="false" outlineLevel="0" collapsed="false">
      <c r="A39" s="1"/>
      <c r="B39" s="26" t="s">
        <v>13</v>
      </c>
      <c r="C39" s="27" t="n">
        <f aca="false">D20</f>
        <v>0</v>
      </c>
      <c r="D39" s="28" t="n">
        <f aca="false">IF($Q$8=0,"—",C39/$Q$8)</f>
        <v>0</v>
      </c>
      <c r="E39" s="27" t="str">
        <f aca="false">IF(MATCH(B39,$C$8:$L$8,0)&gt;=$D$72,"Above",IF(MATCH(B39,$C$8:$L$8,0)&gt;=$D$71,"At","—"))</f>
        <v>—</v>
      </c>
      <c r="F39" s="25" t="str">
        <f aca="false">B39&amp;_xlfn.UNICHAR(8206)</f>
        <v>B‎</v>
      </c>
      <c r="G39" s="1"/>
      <c r="H39" s="1"/>
      <c r="I39" s="1"/>
      <c r="J39" s="1"/>
      <c r="K39" s="1"/>
      <c r="L39" s="1"/>
      <c r="M39" s="1"/>
      <c r="N39" s="1"/>
      <c r="O39" s="1"/>
    </row>
    <row r="40" customFormat="false" ht="15" hidden="false" customHeight="false" outlineLevel="0" collapsed="false">
      <c r="A40" s="1"/>
      <c r="B40" s="26" t="s">
        <v>14</v>
      </c>
      <c r="C40" s="27" t="n">
        <f aca="false">E20</f>
        <v>1</v>
      </c>
      <c r="D40" s="28" t="n">
        <f aca="false">IF($Q$8=0,"—",C40/$Q$8)</f>
        <v>0.0344827586206897</v>
      </c>
      <c r="E40" s="27" t="str">
        <f aca="false">IF(MATCH(B40,$C$8:$L$8,0)&gt;=$D$72,"Above",IF(MATCH(B40,$C$8:$L$8,0)&gt;=$D$71,"At","—"))</f>
        <v>—</v>
      </c>
      <c r="F40" s="25" t="str">
        <f aca="false">B40&amp;_xlfn.UNICHAR(8206)</f>
        <v>B+‎</v>
      </c>
      <c r="G40" s="1"/>
      <c r="H40" s="1"/>
      <c r="I40" s="1"/>
      <c r="J40" s="1"/>
      <c r="K40" s="1"/>
      <c r="L40" s="1"/>
      <c r="M40" s="1"/>
      <c r="N40" s="1"/>
      <c r="O40" s="1"/>
    </row>
    <row r="41" customFormat="false" ht="15" hidden="false" customHeight="false" outlineLevel="0" collapsed="false">
      <c r="A41" s="1"/>
      <c r="B41" s="26" t="s">
        <v>15</v>
      </c>
      <c r="C41" s="27" t="n">
        <f aca="false">F20</f>
        <v>2</v>
      </c>
      <c r="D41" s="28" t="n">
        <f aca="false">IF($Q$8=0,"—",C41/$Q$8)</f>
        <v>0.0689655172413793</v>
      </c>
      <c r="E41" s="27" t="str">
        <f aca="false">IF(MATCH(B41,$C$8:$L$8,0)&gt;=$D$72,"Above",IF(MATCH(B41,$C$8:$L$8,0)&gt;=$D$71,"At","—"))</f>
        <v>—</v>
      </c>
      <c r="F41" s="25" t="str">
        <f aca="false">B41&amp;_xlfn.UNICHAR(8206)</f>
        <v>T‎</v>
      </c>
      <c r="G41" s="1"/>
      <c r="H41" s="1"/>
      <c r="I41" s="1"/>
      <c r="J41" s="1"/>
      <c r="K41" s="1"/>
      <c r="L41" s="1"/>
      <c r="M41" s="1"/>
      <c r="N41" s="1"/>
      <c r="O41" s="1"/>
    </row>
    <row r="42" customFormat="false" ht="15" hidden="false" customHeight="false" outlineLevel="0" collapsed="false">
      <c r="A42" s="1"/>
      <c r="B42" s="26" t="s">
        <v>16</v>
      </c>
      <c r="C42" s="27" t="n">
        <f aca="false">G20</f>
        <v>3</v>
      </c>
      <c r="D42" s="28" t="n">
        <f aca="false">IF($Q$8=0,"—",C42/$Q$8)</f>
        <v>0.103448275862069</v>
      </c>
      <c r="E42" s="27" t="str">
        <f aca="false">IF(MATCH(B42,$C$8:$L$8,0)&gt;=$D$72,"Above",IF(MATCH(B42,$C$8:$L$8,0)&gt;=$D$71,"At","—"))</f>
        <v>At</v>
      </c>
      <c r="F42" s="25" t="str">
        <f aca="false">B42&amp;_xlfn.UNICHAR(8206)</f>
        <v>AT‎</v>
      </c>
      <c r="G42" s="1"/>
      <c r="H42" s="1"/>
      <c r="I42" s="1"/>
      <c r="J42" s="1"/>
      <c r="K42" s="1"/>
      <c r="L42" s="1"/>
      <c r="M42" s="1"/>
      <c r="N42" s="1"/>
      <c r="O42" s="1"/>
    </row>
    <row r="43" customFormat="false" ht="15" hidden="false" customHeight="false" outlineLevel="0" collapsed="false">
      <c r="A43" s="1"/>
      <c r="B43" s="26" t="s">
        <v>17</v>
      </c>
      <c r="C43" s="27" t="n">
        <f aca="false">H20</f>
        <v>6</v>
      </c>
      <c r="D43" s="28" t="n">
        <f aca="false">IF($Q$8=0,"—",C43/$Q$8)</f>
        <v>0.206896551724138</v>
      </c>
      <c r="E43" s="27" t="str">
        <f aca="false">IF(MATCH(B43,$C$8:$L$8,0)&gt;=$D$72,"Above",IF(MATCH(B43,$C$8:$L$8,0)&gt;=$D$71,"At","—"))</f>
        <v>At</v>
      </c>
      <c r="F43" s="25" t="str">
        <f aca="false">B43&amp;_xlfn.UNICHAR(8206)</f>
        <v>AT+‎</v>
      </c>
      <c r="G43" s="1"/>
      <c r="H43" s="1"/>
      <c r="I43" s="1"/>
      <c r="J43" s="1"/>
      <c r="K43" s="1"/>
      <c r="L43" s="1"/>
      <c r="M43" s="1"/>
      <c r="N43" s="1"/>
      <c r="O43" s="1"/>
    </row>
    <row r="44" customFormat="false" ht="15" hidden="false" customHeight="false" outlineLevel="0" collapsed="false">
      <c r="A44" s="1"/>
      <c r="B44" s="26" t="s">
        <v>18</v>
      </c>
      <c r="C44" s="27" t="n">
        <f aca="false">I20</f>
        <v>4</v>
      </c>
      <c r="D44" s="28" t="n">
        <f aca="false">IF($Q$8=0,"—",C44/$Q$8)</f>
        <v>0.137931034482759</v>
      </c>
      <c r="E44" s="27" t="str">
        <f aca="false">IF(MATCH(B44,$C$8:$L$8,0)&gt;=$D$72,"Above",IF(MATCH(B44,$C$8:$L$8,0)&gt;=$D$71,"At","—"))</f>
        <v>Above</v>
      </c>
      <c r="F44" s="25" t="str">
        <f aca="false">B44&amp;_xlfn.UNICHAR(8206)</f>
        <v>AB‎</v>
      </c>
      <c r="G44" s="1"/>
      <c r="H44" s="1"/>
      <c r="I44" s="1"/>
      <c r="J44" s="1"/>
      <c r="K44" s="1"/>
      <c r="L44" s="1"/>
      <c r="M44" s="1"/>
      <c r="N44" s="1"/>
      <c r="O44" s="1"/>
    </row>
    <row r="45" customFormat="false" ht="15" hidden="false" customHeight="false" outlineLevel="0" collapsed="false">
      <c r="A45" s="1"/>
      <c r="B45" s="26" t="s">
        <v>19</v>
      </c>
      <c r="C45" s="27" t="n">
        <f aca="false">J20</f>
        <v>9</v>
      </c>
      <c r="D45" s="28" t="n">
        <f aca="false">IF($Q$8=0,"—",C45/$Q$8)</f>
        <v>0.310344827586207</v>
      </c>
      <c r="E45" s="27" t="str">
        <f aca="false">IF(MATCH(B45,$C$8:$L$8,0)&gt;=$D$72,"Above",IF(MATCH(B45,$C$8:$L$8,0)&gt;=$D$71,"At","—"))</f>
        <v>Above</v>
      </c>
      <c r="F45" s="25" t="str">
        <f aca="false">B45&amp;_xlfn.UNICHAR(8206)</f>
        <v>AB+‎</v>
      </c>
      <c r="G45" s="1"/>
      <c r="H45" s="1"/>
      <c r="I45" s="1"/>
      <c r="J45" s="1"/>
      <c r="K45" s="1"/>
      <c r="L45" s="1"/>
      <c r="M45" s="1"/>
      <c r="N45" s="1"/>
      <c r="O45" s="1"/>
    </row>
    <row r="46" customFormat="false" ht="15" hidden="false" customHeight="false" outlineLevel="0" collapsed="false">
      <c r="A46" s="1"/>
      <c r="B46" s="26" t="s">
        <v>20</v>
      </c>
      <c r="C46" s="27" t="n">
        <f aca="false">K20</f>
        <v>2</v>
      </c>
      <c r="D46" s="28" t="n">
        <f aca="false">IF($Q$8=0,"—",C46/$Q$8)</f>
        <v>0.0689655172413793</v>
      </c>
      <c r="E46" s="27" t="str">
        <f aca="false">IF(MATCH(B46,$C$8:$L$8,0)&gt;=$D$72,"Above",IF(MATCH(B46,$C$8:$L$8,0)&gt;=$D$71,"At","—"))</f>
        <v>Above</v>
      </c>
      <c r="F46" s="25" t="str">
        <f aca="false">B46&amp;_xlfn.UNICHAR(8206)</f>
        <v>GD‎</v>
      </c>
      <c r="G46" s="1"/>
      <c r="H46" s="1"/>
      <c r="I46" s="1"/>
      <c r="J46" s="1"/>
      <c r="K46" s="1"/>
      <c r="L46" s="1"/>
      <c r="M46" s="1"/>
      <c r="N46" s="1"/>
      <c r="O46" s="1"/>
    </row>
    <row r="47" customFormat="false" ht="15" hidden="false" customHeight="false" outlineLevel="0" collapsed="false">
      <c r="A47" s="1"/>
      <c r="B47" s="26" t="s">
        <v>21</v>
      </c>
      <c r="C47" s="27" t="n">
        <f aca="false">L20</f>
        <v>1</v>
      </c>
      <c r="D47" s="28" t="n">
        <f aca="false">IF($Q$8=0,"—",C47/$Q$8)</f>
        <v>0.0344827586206897</v>
      </c>
      <c r="E47" s="27" t="str">
        <f aca="false">IF(MATCH(B47,$C$8:$L$8,0)&gt;=$D$72,"Above",IF(MATCH(B47,$C$8:$L$8,0)&gt;=$D$71,"At","—"))</f>
        <v>Above</v>
      </c>
      <c r="F47" s="25" t="str">
        <f aca="false">B47&amp;_xlfn.UNICHAR(8206)</f>
        <v>GD+‎</v>
      </c>
      <c r="G47" s="1"/>
      <c r="H47" s="1"/>
      <c r="I47" s="1"/>
      <c r="J47" s="1"/>
      <c r="K47" s="1"/>
      <c r="L47" s="1"/>
      <c r="M47" s="1"/>
      <c r="N47" s="1"/>
      <c r="O47" s="1"/>
    </row>
    <row r="48" customFormat="false" ht="15" hidden="false" customHeight="false" outlineLevel="0" collapsed="false">
      <c r="A48" s="1"/>
      <c r="B48" s="15" t="s">
        <v>23</v>
      </c>
      <c r="C48" s="15" t="n">
        <f aca="false">SUM(C38:C47)</f>
        <v>29</v>
      </c>
      <c r="D48" s="29" t="n">
        <f aca="false">IF($Q$8=0,"—",C48/$Q$8)</f>
        <v>1</v>
      </c>
      <c r="E48" s="1"/>
      <c r="F48" s="1"/>
      <c r="G48" s="1"/>
      <c r="H48" s="1"/>
      <c r="I48" s="1"/>
      <c r="J48" s="1"/>
      <c r="K48" s="1"/>
      <c r="L48" s="1"/>
      <c r="M48" s="1"/>
      <c r="N48" s="1"/>
      <c r="O48" s="1"/>
    </row>
    <row r="49" customFormat="false" ht="15" hidden="false" customHeight="false" outlineLevel="0" collapsed="false">
      <c r="A49" s="1"/>
      <c r="B49" s="1"/>
      <c r="C49" s="1"/>
      <c r="D49" s="1"/>
      <c r="E49" s="1"/>
      <c r="F49" s="1"/>
      <c r="G49" s="1"/>
      <c r="H49" s="1"/>
      <c r="I49" s="1"/>
      <c r="J49" s="1"/>
      <c r="K49" s="1"/>
      <c r="L49" s="1"/>
      <c r="M49" s="1"/>
      <c r="N49" s="1"/>
      <c r="O49" s="1"/>
    </row>
    <row r="50" customFormat="false" ht="15" hidden="false" customHeight="false" outlineLevel="0" collapsed="false">
      <c r="A50" s="1"/>
      <c r="B50" s="1"/>
      <c r="C50" s="1"/>
      <c r="D50" s="1"/>
      <c r="E50" s="1"/>
      <c r="F50" s="1"/>
      <c r="G50" s="1"/>
      <c r="H50" s="1"/>
      <c r="I50" s="1"/>
      <c r="J50" s="1"/>
      <c r="K50" s="1"/>
      <c r="L50" s="1"/>
      <c r="M50" s="1"/>
      <c r="N50" s="1"/>
      <c r="O50" s="1"/>
    </row>
    <row r="51" customFormat="false" ht="15" hidden="false" customHeight="false" outlineLevel="0" collapsed="false">
      <c r="A51" s="1"/>
      <c r="B51" s="9" t="s">
        <v>52</v>
      </c>
      <c r="C51" s="9" t="s">
        <v>48</v>
      </c>
      <c r="D51" s="9" t="s">
        <v>49</v>
      </c>
      <c r="E51" s="1"/>
      <c r="F51" s="1"/>
      <c r="G51" s="1"/>
      <c r="H51" s="1"/>
      <c r="I51" s="1"/>
      <c r="J51" s="1"/>
      <c r="K51" s="1"/>
      <c r="L51" s="1"/>
      <c r="M51" s="1"/>
      <c r="N51" s="1"/>
      <c r="O51" s="1"/>
    </row>
    <row r="52" customFormat="false" ht="15" hidden="false" customHeight="false" outlineLevel="0" collapsed="false">
      <c r="A52" s="1"/>
      <c r="B52" s="30" t="s">
        <v>53</v>
      </c>
      <c r="C52" s="27" t="n">
        <f aca="false">$Q$8-$Q$9</f>
        <v>4</v>
      </c>
      <c r="D52" s="28" t="n">
        <f aca="false">IF($Q$8=0,"—",C52/$Q$8)</f>
        <v>0.137931034482759</v>
      </c>
      <c r="E52" s="1"/>
      <c r="F52" s="1"/>
      <c r="G52" s="1"/>
      <c r="H52" s="1"/>
      <c r="I52" s="1"/>
      <c r="J52" s="1"/>
      <c r="K52" s="1"/>
      <c r="L52" s="1"/>
      <c r="M52" s="1"/>
      <c r="N52" s="1"/>
      <c r="O52" s="1"/>
    </row>
    <row r="53" customFormat="false" ht="15" hidden="false" customHeight="false" outlineLevel="0" collapsed="false">
      <c r="A53" s="1"/>
      <c r="B53" s="30" t="s">
        <v>54</v>
      </c>
      <c r="C53" s="27" t="n">
        <f aca="false">$Q$9-$Q$10</f>
        <v>9</v>
      </c>
      <c r="D53" s="28" t="n">
        <f aca="false">IF($Q$8=0,"—",C53/$Q$8)</f>
        <v>0.310344827586207</v>
      </c>
      <c r="E53" s="1"/>
      <c r="F53" s="1"/>
      <c r="G53" s="1"/>
      <c r="H53" s="1"/>
      <c r="I53" s="1"/>
      <c r="J53" s="1"/>
      <c r="K53" s="1"/>
      <c r="L53" s="1"/>
      <c r="M53" s="1"/>
      <c r="N53" s="1"/>
      <c r="O53" s="1"/>
    </row>
    <row r="54" customFormat="false" ht="15" hidden="false" customHeight="false" outlineLevel="0" collapsed="false">
      <c r="A54" s="1"/>
      <c r="B54" s="30" t="s">
        <v>27</v>
      </c>
      <c r="C54" s="27" t="n">
        <f aca="false">$Q$10</f>
        <v>16</v>
      </c>
      <c r="D54" s="28" t="n">
        <f aca="false">IF($Q$8=0,"—",C54/$Q$8)</f>
        <v>0.551724137931035</v>
      </c>
      <c r="E54" s="1"/>
      <c r="F54" s="1"/>
      <c r="G54" s="1"/>
      <c r="H54" s="1"/>
      <c r="I54" s="1"/>
      <c r="J54" s="1"/>
      <c r="K54" s="1"/>
      <c r="L54" s="1"/>
      <c r="M54" s="1"/>
      <c r="N54" s="1"/>
      <c r="O54" s="1"/>
    </row>
    <row r="55" customFormat="false" ht="15" hidden="false" customHeight="false" outlineLevel="0" collapsed="false">
      <c r="A55" s="1"/>
      <c r="B55" s="1"/>
      <c r="C55" s="1"/>
      <c r="D55" s="1"/>
      <c r="E55" s="1"/>
      <c r="F55" s="1"/>
      <c r="G55" s="1"/>
      <c r="H55" s="1"/>
      <c r="I55" s="1"/>
      <c r="J55" s="1"/>
      <c r="K55" s="1"/>
      <c r="L55" s="1"/>
      <c r="M55" s="1"/>
      <c r="N55" s="1"/>
      <c r="O55" s="1"/>
    </row>
    <row r="56" customFormat="false" ht="15" hidden="false" customHeight="false" outlineLevel="0" collapsed="false">
      <c r="A56" s="1"/>
      <c r="B56" s="1"/>
      <c r="C56" s="1"/>
      <c r="D56" s="1"/>
      <c r="E56" s="1"/>
      <c r="F56" s="1"/>
      <c r="G56" s="1"/>
      <c r="H56" s="1"/>
      <c r="I56" s="1"/>
      <c r="J56" s="1"/>
      <c r="K56" s="1"/>
      <c r="L56" s="1"/>
      <c r="M56" s="1"/>
      <c r="N56" s="1"/>
      <c r="O56" s="1"/>
    </row>
    <row r="57" customFormat="false" ht="15" hidden="false" customHeight="false" outlineLevel="0" collapsed="false">
      <c r="A57" s="1"/>
      <c r="B57" s="9" t="s">
        <v>55</v>
      </c>
      <c r="C57" s="9" t="s">
        <v>48</v>
      </c>
      <c r="D57" s="9" t="s">
        <v>49</v>
      </c>
      <c r="E57" s="1"/>
      <c r="F57" s="1"/>
      <c r="G57" s="1"/>
      <c r="H57" s="1"/>
      <c r="I57" s="1"/>
      <c r="J57" s="1"/>
      <c r="K57" s="1"/>
      <c r="L57" s="1"/>
      <c r="M57" s="1"/>
      <c r="N57" s="1"/>
      <c r="O57" s="1"/>
    </row>
    <row r="58" customFormat="false" ht="15" hidden="false" customHeight="false" outlineLevel="0" collapsed="false">
      <c r="A58" s="1"/>
      <c r="B58" s="30" t="s">
        <v>41</v>
      </c>
      <c r="C58" s="27" t="n">
        <f aca="false">$Q$11</f>
        <v>3</v>
      </c>
      <c r="D58" s="28" t="n">
        <f aca="false">IF($Q$17=0,"—",C58/$Q$17)</f>
        <v>0.115384615384615</v>
      </c>
      <c r="E58" s="1"/>
      <c r="F58" s="1"/>
      <c r="G58" s="1"/>
      <c r="H58" s="1"/>
      <c r="I58" s="1"/>
      <c r="J58" s="1"/>
      <c r="K58" s="1"/>
      <c r="L58" s="1"/>
      <c r="M58" s="1"/>
      <c r="N58" s="1"/>
      <c r="O58" s="1"/>
    </row>
    <row r="59" customFormat="false" ht="15" hidden="false" customHeight="false" outlineLevel="0" collapsed="false">
      <c r="A59" s="1"/>
      <c r="B59" s="30" t="s">
        <v>29</v>
      </c>
      <c r="C59" s="27" t="n">
        <f aca="false">$Q$12</f>
        <v>7</v>
      </c>
      <c r="D59" s="28" t="n">
        <f aca="false">IF($Q$17=0,"—",C59/$Q$17)</f>
        <v>0.269230769230769</v>
      </c>
      <c r="E59" s="1"/>
      <c r="F59" s="1"/>
      <c r="G59" s="1"/>
      <c r="H59" s="1"/>
      <c r="I59" s="1"/>
      <c r="J59" s="1"/>
      <c r="K59" s="1"/>
      <c r="L59" s="1"/>
      <c r="M59" s="1"/>
      <c r="N59" s="1"/>
      <c r="O59" s="1"/>
    </row>
    <row r="60" customFormat="false" ht="15" hidden="false" customHeight="false" outlineLevel="0" collapsed="false">
      <c r="A60" s="1"/>
      <c r="B60" s="30" t="s">
        <v>42</v>
      </c>
      <c r="C60" s="27" t="n">
        <f aca="false">$Q$13</f>
        <v>16</v>
      </c>
      <c r="D60" s="28" t="n">
        <f aca="false">IF($Q$17=0,"—",C60/$Q$17)</f>
        <v>0.615384615384615</v>
      </c>
      <c r="E60" s="1"/>
      <c r="F60" s="1"/>
      <c r="G60" s="1"/>
      <c r="H60" s="1"/>
      <c r="I60" s="1"/>
      <c r="J60" s="1"/>
      <c r="K60" s="1"/>
      <c r="L60" s="1"/>
      <c r="M60" s="1"/>
      <c r="N60" s="1"/>
      <c r="O60" s="1"/>
    </row>
    <row r="61" customFormat="false" ht="15" hidden="false" customHeight="false" outlineLevel="0" collapsed="false">
      <c r="A61" s="1"/>
      <c r="B61" s="1"/>
      <c r="C61" s="1"/>
      <c r="D61" s="1"/>
      <c r="E61" s="1"/>
      <c r="F61" s="1"/>
      <c r="G61" s="1"/>
      <c r="H61" s="1"/>
      <c r="I61" s="1"/>
      <c r="J61" s="1"/>
      <c r="K61" s="1"/>
      <c r="L61" s="1"/>
      <c r="M61" s="1"/>
      <c r="N61" s="1"/>
      <c r="O61" s="1"/>
    </row>
    <row r="62" customFormat="false" ht="15" hidden="false" customHeight="false" outlineLevel="0" collapsed="false">
      <c r="A62" s="1"/>
      <c r="B62" s="1"/>
      <c r="C62" s="1"/>
      <c r="D62" s="1"/>
      <c r="E62" s="1"/>
      <c r="F62" s="1"/>
      <c r="G62" s="1"/>
      <c r="H62" s="1"/>
      <c r="I62" s="1"/>
      <c r="J62" s="1"/>
      <c r="K62" s="1"/>
      <c r="L62" s="1"/>
      <c r="M62" s="1"/>
      <c r="N62" s="1"/>
      <c r="O62" s="1"/>
    </row>
    <row r="63" customFormat="false" ht="15" hidden="false" customHeight="false" outlineLevel="0" collapsed="false">
      <c r="A63" s="1"/>
      <c r="B63" s="1"/>
      <c r="C63" s="1"/>
      <c r="D63" s="1"/>
      <c r="E63" s="1"/>
      <c r="F63" s="1"/>
      <c r="G63" s="1"/>
      <c r="H63" s="1"/>
      <c r="I63" s="1"/>
      <c r="J63" s="1"/>
      <c r="K63" s="1"/>
      <c r="L63" s="1"/>
      <c r="M63" s="1"/>
      <c r="N63" s="1"/>
      <c r="O63" s="1"/>
    </row>
    <row r="64" customFormat="false" ht="15" hidden="false" customHeight="false" outlineLevel="0" collapsed="false">
      <c r="A64" s="1"/>
      <c r="B64" s="1"/>
      <c r="C64" s="1"/>
      <c r="D64" s="1"/>
      <c r="E64" s="1"/>
      <c r="F64" s="1"/>
      <c r="G64" s="1"/>
      <c r="H64" s="1"/>
      <c r="I64" s="1"/>
      <c r="J64" s="1"/>
      <c r="K64" s="1"/>
      <c r="L64" s="1"/>
      <c r="M64" s="1"/>
      <c r="N64" s="1"/>
      <c r="O64" s="1"/>
    </row>
    <row r="65" customFormat="false" ht="15" hidden="false" customHeight="false" outlineLevel="0" collapsed="false">
      <c r="A65" s="1"/>
      <c r="B65" s="1"/>
      <c r="C65" s="1"/>
      <c r="D65" s="1"/>
      <c r="E65" s="1"/>
      <c r="F65" s="1"/>
      <c r="G65" s="1"/>
      <c r="H65" s="1"/>
      <c r="I65" s="1"/>
      <c r="J65" s="1"/>
      <c r="K65" s="1"/>
      <c r="L65" s="1"/>
      <c r="M65" s="1"/>
      <c r="N65" s="1"/>
      <c r="O65" s="1"/>
    </row>
    <row r="66" customFormat="false" ht="15" hidden="false" customHeight="false" outlineLevel="0" collapsed="false">
      <c r="A66" s="1"/>
      <c r="B66" s="1"/>
      <c r="C66" s="1"/>
      <c r="D66" s="1"/>
      <c r="E66" s="1"/>
      <c r="F66" s="1"/>
      <c r="G66" s="1"/>
      <c r="H66" s="1"/>
      <c r="I66" s="1"/>
      <c r="J66" s="1"/>
      <c r="K66" s="1"/>
      <c r="L66" s="1"/>
      <c r="M66" s="1"/>
      <c r="N66" s="1"/>
      <c r="O66" s="1"/>
    </row>
    <row r="67" customFormat="false" ht="15" hidden="false" customHeight="false" outlineLevel="0" collapsed="false">
      <c r="A67" s="1"/>
      <c r="B67" s="1"/>
      <c r="C67" s="1"/>
      <c r="D67" s="1"/>
      <c r="E67" s="1"/>
      <c r="F67" s="1"/>
      <c r="G67" s="1"/>
      <c r="H67" s="1"/>
      <c r="I67" s="1"/>
      <c r="J67" s="1"/>
      <c r="K67" s="1"/>
      <c r="L67" s="1"/>
      <c r="M67" s="1"/>
      <c r="N67" s="1"/>
      <c r="O67" s="1"/>
    </row>
    <row r="68" customFormat="false" ht="21.75" hidden="false" customHeight="true" outlineLevel="0" collapsed="false">
      <c r="A68" s="1"/>
      <c r="B68" s="6" t="s">
        <v>56</v>
      </c>
      <c r="C68" s="6"/>
      <c r="D68" s="6"/>
      <c r="E68" s="6"/>
      <c r="F68" s="6"/>
      <c r="G68" s="6"/>
      <c r="H68" s="6"/>
      <c r="I68" s="6"/>
      <c r="J68" s="6"/>
      <c r="K68" s="6"/>
      <c r="L68" s="6"/>
      <c r="M68" s="6"/>
      <c r="N68" s="6"/>
      <c r="O68" s="1"/>
    </row>
    <row r="69" customFormat="false" ht="15" hidden="false" customHeight="false" outlineLevel="0" collapsed="false">
      <c r="A69" s="1"/>
      <c r="B69" s="1"/>
      <c r="C69" s="1"/>
      <c r="D69" s="1"/>
      <c r="E69" s="1"/>
      <c r="F69" s="1"/>
      <c r="G69" s="1"/>
      <c r="H69" s="1"/>
      <c r="I69" s="1"/>
      <c r="J69" s="1"/>
      <c r="K69" s="1"/>
      <c r="L69" s="1"/>
      <c r="M69" s="1"/>
      <c r="N69" s="1"/>
      <c r="O69" s="1"/>
    </row>
    <row r="70" customFormat="false" ht="15" hidden="false" customHeight="false" outlineLevel="0" collapsed="false">
      <c r="A70" s="1"/>
      <c r="B70" s="31" t="s">
        <v>57</v>
      </c>
      <c r="C70" s="1"/>
      <c r="D70" s="1"/>
      <c r="E70" s="1"/>
      <c r="F70" s="1"/>
      <c r="G70" s="1"/>
      <c r="H70" s="1"/>
      <c r="I70" s="1"/>
      <c r="J70" s="1"/>
      <c r="K70" s="1"/>
      <c r="L70" s="1"/>
      <c r="M70" s="1"/>
      <c r="N70" s="1"/>
      <c r="O70" s="1"/>
    </row>
    <row r="71" customFormat="false" ht="15" hidden="false" customHeight="true" outlineLevel="0" collapsed="false">
      <c r="A71" s="1"/>
      <c r="B71" s="32" t="s">
        <v>58</v>
      </c>
      <c r="C71" s="33" t="s">
        <v>16</v>
      </c>
      <c r="D71" s="34" t="n">
        <f aca="false">MATCH(C71,$C$8:$L$8,0)</f>
        <v>5</v>
      </c>
      <c r="E71" s="7" t="s">
        <v>59</v>
      </c>
      <c r="F71" s="7"/>
      <c r="G71" s="7"/>
      <c r="H71" s="7"/>
      <c r="I71" s="7"/>
      <c r="J71" s="7"/>
      <c r="K71" s="7"/>
      <c r="L71" s="7"/>
      <c r="M71" s="7"/>
      <c r="N71" s="7"/>
      <c r="O71" s="1"/>
    </row>
    <row r="72" customFormat="false" ht="15" hidden="false" customHeight="false" outlineLevel="0" collapsed="false">
      <c r="A72" s="1"/>
      <c r="B72" s="32" t="s">
        <v>60</v>
      </c>
      <c r="C72" s="33" t="s">
        <v>18</v>
      </c>
      <c r="D72" s="34" t="n">
        <f aca="false">MATCH(C72,$C$8:$L$8,0)</f>
        <v>7</v>
      </c>
      <c r="E72" s="7"/>
      <c r="F72" s="7"/>
      <c r="G72" s="7"/>
      <c r="H72" s="7"/>
      <c r="I72" s="7"/>
      <c r="J72" s="7"/>
      <c r="K72" s="7"/>
      <c r="L72" s="7"/>
      <c r="M72" s="7"/>
      <c r="N72" s="7"/>
      <c r="O72" s="1"/>
    </row>
    <row r="73" customFormat="false" ht="15" hidden="false" customHeight="false" outlineLevel="0" collapsed="false">
      <c r="A73" s="1"/>
      <c r="B73" s="1"/>
      <c r="C73" s="1"/>
      <c r="D73" s="1"/>
      <c r="E73" s="1"/>
      <c r="F73" s="1"/>
      <c r="G73" s="1"/>
      <c r="H73" s="1"/>
      <c r="I73" s="1"/>
      <c r="J73" s="1"/>
      <c r="K73" s="1"/>
      <c r="L73" s="1"/>
      <c r="M73" s="1"/>
      <c r="N73" s="1"/>
      <c r="O73" s="1"/>
    </row>
    <row r="74" customFormat="false" ht="15" hidden="false" customHeight="false" outlineLevel="0" collapsed="false">
      <c r="A74" s="1"/>
      <c r="B74" s="9" t="s">
        <v>61</v>
      </c>
      <c r="C74" s="9" t="s">
        <v>62</v>
      </c>
      <c r="D74" s="9" t="s">
        <v>63</v>
      </c>
      <c r="E74" s="1"/>
      <c r="F74" s="1"/>
      <c r="G74" s="1"/>
      <c r="H74" s="1"/>
      <c r="I74" s="1"/>
      <c r="J74" s="1"/>
      <c r="K74" s="1"/>
      <c r="L74" s="1"/>
      <c r="M74" s="1"/>
      <c r="N74" s="1"/>
      <c r="O74" s="1"/>
    </row>
    <row r="75" customFormat="false" ht="15" hidden="false" customHeight="true" outlineLevel="0" collapsed="false">
      <c r="A75" s="1"/>
      <c r="B75" s="35" t="s">
        <v>64</v>
      </c>
      <c r="C75" s="36" t="n">
        <v>0.15</v>
      </c>
      <c r="D75" s="36" t="n">
        <v>0.15</v>
      </c>
      <c r="E75" s="37" t="s">
        <v>65</v>
      </c>
      <c r="F75" s="37"/>
      <c r="G75" s="37"/>
      <c r="H75" s="37"/>
      <c r="I75" s="37"/>
      <c r="J75" s="37"/>
      <c r="K75" s="37"/>
      <c r="L75" s="37"/>
      <c r="M75" s="37"/>
      <c r="N75" s="37"/>
      <c r="O75" s="1"/>
    </row>
    <row r="76" customFormat="false" ht="15" hidden="false" customHeight="false" outlineLevel="0" collapsed="false">
      <c r="A76" s="1"/>
      <c r="B76" s="35" t="s">
        <v>66</v>
      </c>
      <c r="C76" s="36" t="n">
        <v>0.75</v>
      </c>
      <c r="D76" s="36" t="n">
        <v>0.75</v>
      </c>
      <c r="E76" s="37"/>
      <c r="F76" s="37"/>
      <c r="G76" s="37"/>
      <c r="H76" s="37"/>
      <c r="I76" s="37"/>
      <c r="J76" s="37"/>
      <c r="K76" s="37"/>
      <c r="L76" s="37"/>
      <c r="M76" s="37"/>
      <c r="N76" s="37"/>
      <c r="O76" s="1"/>
    </row>
    <row r="77" customFormat="false" ht="15" hidden="false" customHeight="false" outlineLevel="0" collapsed="false">
      <c r="A77" s="1"/>
      <c r="B77" s="35" t="s">
        <v>67</v>
      </c>
      <c r="C77" s="36" t="n">
        <v>0.5</v>
      </c>
      <c r="D77" s="36" t="n">
        <v>0.5</v>
      </c>
      <c r="E77" s="37"/>
      <c r="F77" s="37"/>
      <c r="G77" s="37"/>
      <c r="H77" s="37"/>
      <c r="I77" s="37"/>
      <c r="J77" s="37"/>
      <c r="K77" s="37"/>
      <c r="L77" s="37"/>
      <c r="M77" s="37"/>
      <c r="N77" s="37"/>
      <c r="O77" s="1"/>
    </row>
    <row r="78" customFormat="false" ht="22.35" hidden="false" customHeight="false" outlineLevel="0" collapsed="false">
      <c r="A78" s="1"/>
      <c r="B78" s="35" t="s">
        <v>68</v>
      </c>
      <c r="C78" s="36" t="n">
        <v>0.6</v>
      </c>
      <c r="D78" s="36" t="n">
        <v>0.6</v>
      </c>
      <c r="E78" s="1"/>
      <c r="F78" s="1"/>
      <c r="G78" s="1"/>
      <c r="H78" s="1"/>
      <c r="I78" s="1"/>
      <c r="J78" s="1"/>
      <c r="K78" s="1"/>
      <c r="L78" s="1"/>
      <c r="M78" s="1"/>
      <c r="N78" s="1"/>
      <c r="O78" s="1"/>
    </row>
    <row r="79" customFormat="false" ht="15" hidden="false" customHeight="false" outlineLevel="0" collapsed="false">
      <c r="A79" s="1"/>
      <c r="B79" s="35" t="s">
        <v>69</v>
      </c>
      <c r="C79" s="36" t="n">
        <v>0.75</v>
      </c>
      <c r="D79" s="36" t="n">
        <v>0.75</v>
      </c>
      <c r="E79" s="1"/>
      <c r="F79" s="1"/>
      <c r="G79" s="1"/>
      <c r="H79" s="1"/>
      <c r="I79" s="1"/>
      <c r="J79" s="1"/>
      <c r="K79" s="1"/>
      <c r="L79" s="1"/>
      <c r="M79" s="1"/>
      <c r="N79" s="1"/>
      <c r="O79" s="1"/>
    </row>
    <row r="80" customFormat="false" ht="15" hidden="false" customHeight="true" outlineLevel="0" collapsed="false">
      <c r="A80" s="1"/>
      <c r="B80" s="1"/>
      <c r="C80" s="38" t="s">
        <v>70</v>
      </c>
      <c r="D80" s="38"/>
      <c r="E80" s="39" t="s">
        <v>71</v>
      </c>
      <c r="F80" s="39"/>
      <c r="G80" s="40" t="s">
        <v>72</v>
      </c>
      <c r="H80" s="40"/>
      <c r="I80" s="41" t="s">
        <v>73</v>
      </c>
      <c r="J80" s="41"/>
      <c r="K80" s="42" t="s">
        <v>74</v>
      </c>
      <c r="L80" s="42"/>
      <c r="M80" s="43" t="s">
        <v>75</v>
      </c>
      <c r="N80" s="43"/>
      <c r="O80" s="1"/>
    </row>
    <row r="81" customFormat="false" ht="15" hidden="false" customHeight="false" outlineLevel="0" collapsed="false">
      <c r="A81" s="1"/>
      <c r="B81" s="1"/>
      <c r="C81" s="1"/>
      <c r="D81" s="1"/>
      <c r="E81" s="1"/>
      <c r="F81" s="1"/>
      <c r="G81" s="1"/>
      <c r="H81" s="1"/>
      <c r="I81" s="1"/>
      <c r="J81" s="1"/>
      <c r="K81" s="1"/>
      <c r="L81" s="1"/>
      <c r="M81" s="1"/>
      <c r="N81" s="1"/>
      <c r="O81" s="1"/>
    </row>
    <row r="82" customFormat="false" ht="35.05" hidden="false" customHeight="false" outlineLevel="0" collapsed="false">
      <c r="A82" s="1"/>
      <c r="B82" s="31" t="s">
        <v>76</v>
      </c>
      <c r="C82" s="1"/>
      <c r="D82" s="1"/>
      <c r="E82" s="1"/>
      <c r="F82" s="1"/>
      <c r="G82" s="1"/>
      <c r="H82" s="1"/>
      <c r="I82" s="1"/>
      <c r="J82" s="1"/>
      <c r="K82" s="1"/>
      <c r="L82" s="1"/>
      <c r="M82" s="1"/>
      <c r="N82" s="1"/>
      <c r="O82" s="1"/>
    </row>
    <row r="83" customFormat="false" ht="15" hidden="false" customHeight="false" outlineLevel="0" collapsed="false">
      <c r="A83" s="1"/>
      <c r="B83" s="9" t="s">
        <v>77</v>
      </c>
      <c r="C83" s="1"/>
      <c r="D83" s="44" t="s">
        <v>13</v>
      </c>
      <c r="E83" s="44" t="s">
        <v>14</v>
      </c>
      <c r="F83" s="44" t="s">
        <v>15</v>
      </c>
      <c r="G83" s="44" t="s">
        <v>16</v>
      </c>
      <c r="H83" s="44" t="s">
        <v>17</v>
      </c>
      <c r="I83" s="44" t="s">
        <v>18</v>
      </c>
      <c r="J83" s="44" t="s">
        <v>19</v>
      </c>
      <c r="K83" s="44" t="s">
        <v>20</v>
      </c>
      <c r="L83" s="44" t="s">
        <v>21</v>
      </c>
      <c r="M83" s="1"/>
      <c r="N83" s="1"/>
      <c r="O83" s="1"/>
    </row>
    <row r="84" customFormat="false" ht="15" hidden="false" customHeight="false" outlineLevel="0" collapsed="false">
      <c r="A84" s="1"/>
      <c r="B84" s="44" t="s">
        <v>13</v>
      </c>
      <c r="C84" s="1"/>
      <c r="D84" s="45" t="s">
        <v>29</v>
      </c>
      <c r="E84" s="45" t="s">
        <v>30</v>
      </c>
      <c r="F84" s="45" t="s">
        <v>30</v>
      </c>
      <c r="G84" s="45" t="s">
        <v>30</v>
      </c>
      <c r="H84" s="45" t="s">
        <v>30</v>
      </c>
      <c r="I84" s="45" t="s">
        <v>30</v>
      </c>
      <c r="J84" s="45" t="s">
        <v>30</v>
      </c>
      <c r="K84" s="45" t="s">
        <v>30</v>
      </c>
      <c r="L84" s="45" t="s">
        <v>30</v>
      </c>
      <c r="M84" s="1"/>
      <c r="N84" s="1"/>
      <c r="O84" s="1"/>
    </row>
    <row r="85" customFormat="false" ht="15" hidden="false" customHeight="false" outlineLevel="0" collapsed="false">
      <c r="A85" s="1"/>
      <c r="B85" s="44" t="s">
        <v>14</v>
      </c>
      <c r="C85" s="1"/>
      <c r="D85" s="45" t="s">
        <v>29</v>
      </c>
      <c r="E85" s="45" t="s">
        <v>29</v>
      </c>
      <c r="F85" s="45" t="s">
        <v>30</v>
      </c>
      <c r="G85" s="45" t="s">
        <v>30</v>
      </c>
      <c r="H85" s="45" t="s">
        <v>30</v>
      </c>
      <c r="I85" s="45" t="s">
        <v>30</v>
      </c>
      <c r="J85" s="45" t="s">
        <v>30</v>
      </c>
      <c r="K85" s="45" t="s">
        <v>30</v>
      </c>
      <c r="L85" s="45" t="s">
        <v>30</v>
      </c>
      <c r="M85" s="1"/>
      <c r="N85" s="1"/>
      <c r="O85" s="1"/>
    </row>
    <row r="86" customFormat="false" ht="15" hidden="false" customHeight="false" outlineLevel="0" collapsed="false">
      <c r="A86" s="1"/>
      <c r="B86" s="44" t="s">
        <v>15</v>
      </c>
      <c r="C86" s="1"/>
      <c r="D86" s="45" t="s">
        <v>28</v>
      </c>
      <c r="E86" s="45" t="s">
        <v>28</v>
      </c>
      <c r="F86" s="45" t="s">
        <v>29</v>
      </c>
      <c r="G86" s="45" t="s">
        <v>30</v>
      </c>
      <c r="H86" s="45" t="s">
        <v>30</v>
      </c>
      <c r="I86" s="45" t="s">
        <v>30</v>
      </c>
      <c r="J86" s="45" t="s">
        <v>30</v>
      </c>
      <c r="K86" s="45" t="s">
        <v>30</v>
      </c>
      <c r="L86" s="45" t="s">
        <v>30</v>
      </c>
      <c r="M86" s="1"/>
      <c r="N86" s="1"/>
      <c r="O86" s="1"/>
    </row>
    <row r="87" customFormat="false" ht="15" hidden="false" customHeight="false" outlineLevel="0" collapsed="false">
      <c r="A87" s="1"/>
      <c r="B87" s="44" t="s">
        <v>16</v>
      </c>
      <c r="C87" s="1"/>
      <c r="D87" s="45" t="s">
        <v>28</v>
      </c>
      <c r="E87" s="45" t="s">
        <v>28</v>
      </c>
      <c r="F87" s="45" t="s">
        <v>28</v>
      </c>
      <c r="G87" s="45" t="s">
        <v>29</v>
      </c>
      <c r="H87" s="45" t="s">
        <v>30</v>
      </c>
      <c r="I87" s="45" t="s">
        <v>30</v>
      </c>
      <c r="J87" s="45" t="s">
        <v>30</v>
      </c>
      <c r="K87" s="45" t="s">
        <v>30</v>
      </c>
      <c r="L87" s="45" t="s">
        <v>30</v>
      </c>
      <c r="M87" s="1"/>
      <c r="N87" s="1"/>
      <c r="O87" s="1"/>
    </row>
    <row r="88" customFormat="false" ht="15" hidden="false" customHeight="false" outlineLevel="0" collapsed="false">
      <c r="A88" s="1"/>
      <c r="B88" s="44" t="s">
        <v>17</v>
      </c>
      <c r="C88" s="1"/>
      <c r="D88" s="45" t="s">
        <v>28</v>
      </c>
      <c r="E88" s="45" t="s">
        <v>28</v>
      </c>
      <c r="F88" s="45" t="s">
        <v>28</v>
      </c>
      <c r="G88" s="45" t="s">
        <v>29</v>
      </c>
      <c r="H88" s="45" t="s">
        <v>29</v>
      </c>
      <c r="I88" s="45" t="s">
        <v>30</v>
      </c>
      <c r="J88" s="45" t="s">
        <v>30</v>
      </c>
      <c r="K88" s="45" t="s">
        <v>30</v>
      </c>
      <c r="L88" s="45" t="s">
        <v>30</v>
      </c>
      <c r="M88" s="1"/>
      <c r="N88" s="1"/>
      <c r="O88" s="1"/>
    </row>
    <row r="89" customFormat="false" ht="15" hidden="false" customHeight="false" outlineLevel="0" collapsed="false">
      <c r="A89" s="1"/>
      <c r="B89" s="44" t="s">
        <v>18</v>
      </c>
      <c r="C89" s="1"/>
      <c r="D89" s="45" t="s">
        <v>28</v>
      </c>
      <c r="E89" s="45" t="s">
        <v>28</v>
      </c>
      <c r="F89" s="45" t="s">
        <v>28</v>
      </c>
      <c r="G89" s="45" t="s">
        <v>28</v>
      </c>
      <c r="H89" s="45" t="s">
        <v>29</v>
      </c>
      <c r="I89" s="45" t="s">
        <v>30</v>
      </c>
      <c r="J89" s="45" t="s">
        <v>30</v>
      </c>
      <c r="K89" s="45" t="s">
        <v>30</v>
      </c>
      <c r="L89" s="45" t="s">
        <v>30</v>
      </c>
      <c r="M89" s="1"/>
      <c r="N89" s="1"/>
      <c r="O89" s="1"/>
    </row>
    <row r="90" customFormat="false" ht="15" hidden="false" customHeight="false" outlineLevel="0" collapsed="false">
      <c r="A90" s="1"/>
      <c r="B90" s="44" t="s">
        <v>19</v>
      </c>
      <c r="C90" s="1"/>
      <c r="D90" s="45" t="s">
        <v>28</v>
      </c>
      <c r="E90" s="45" t="s">
        <v>28</v>
      </c>
      <c r="F90" s="45" t="s">
        <v>28</v>
      </c>
      <c r="G90" s="45" t="s">
        <v>28</v>
      </c>
      <c r="H90" s="45" t="s">
        <v>28</v>
      </c>
      <c r="I90" s="45" t="s">
        <v>29</v>
      </c>
      <c r="J90" s="45" t="s">
        <v>30</v>
      </c>
      <c r="K90" s="45" t="s">
        <v>30</v>
      </c>
      <c r="L90" s="45" t="s">
        <v>30</v>
      </c>
      <c r="M90" s="1"/>
      <c r="N90" s="1"/>
      <c r="O90" s="1"/>
    </row>
    <row r="91" customFormat="false" ht="15" hidden="false" customHeight="false" outlineLevel="0" collapsed="false">
      <c r="A91" s="1"/>
      <c r="B91" s="44" t="s">
        <v>20</v>
      </c>
      <c r="C91" s="1"/>
      <c r="D91" s="45" t="s">
        <v>28</v>
      </c>
      <c r="E91" s="45" t="s">
        <v>28</v>
      </c>
      <c r="F91" s="45" t="s">
        <v>28</v>
      </c>
      <c r="G91" s="45" t="s">
        <v>28</v>
      </c>
      <c r="H91" s="45" t="s">
        <v>28</v>
      </c>
      <c r="I91" s="45" t="s">
        <v>28</v>
      </c>
      <c r="J91" s="45" t="s">
        <v>29</v>
      </c>
      <c r="K91" s="45" t="s">
        <v>30</v>
      </c>
      <c r="L91" s="45" t="s">
        <v>30</v>
      </c>
      <c r="M91" s="1"/>
      <c r="N91" s="1"/>
      <c r="O91" s="1"/>
    </row>
    <row r="92" customFormat="false" ht="15" hidden="false" customHeight="false" outlineLevel="0" collapsed="false">
      <c r="A92" s="1"/>
      <c r="B92" s="44" t="s">
        <v>21</v>
      </c>
      <c r="C92" s="1"/>
      <c r="D92" s="45" t="s">
        <v>28</v>
      </c>
      <c r="E92" s="45" t="s">
        <v>28</v>
      </c>
      <c r="F92" s="45" t="s">
        <v>28</v>
      </c>
      <c r="G92" s="45" t="s">
        <v>28</v>
      </c>
      <c r="H92" s="45" t="s">
        <v>28</v>
      </c>
      <c r="I92" s="45" t="s">
        <v>28</v>
      </c>
      <c r="J92" s="45" t="s">
        <v>29</v>
      </c>
      <c r="K92" s="45" t="s">
        <v>30</v>
      </c>
      <c r="L92" s="45" t="s">
        <v>30</v>
      </c>
      <c r="M92" s="1"/>
      <c r="N92" s="1"/>
      <c r="O92" s="1"/>
    </row>
    <row r="93" customFormat="false" ht="15" hidden="false" customHeight="false" outlineLevel="0" collapsed="false">
      <c r="A93" s="1"/>
      <c r="B93" s="1"/>
      <c r="C93" s="1"/>
      <c r="D93" s="1"/>
      <c r="E93" s="1"/>
      <c r="F93" s="1"/>
      <c r="G93" s="1"/>
      <c r="H93" s="1"/>
      <c r="I93" s="1"/>
      <c r="J93" s="1"/>
      <c r="K93" s="1"/>
      <c r="L93" s="1"/>
      <c r="M93" s="1"/>
      <c r="N93" s="1"/>
      <c r="O93" s="1"/>
    </row>
    <row r="94" customFormat="false" ht="15" hidden="false" customHeight="true" outlineLevel="0" collapsed="false">
      <c r="A94" s="1"/>
      <c r="B94" s="7" t="s">
        <v>78</v>
      </c>
      <c r="C94" s="7"/>
      <c r="D94" s="7"/>
      <c r="E94" s="7"/>
      <c r="F94" s="7"/>
      <c r="G94" s="7"/>
      <c r="H94" s="7"/>
      <c r="I94" s="7"/>
      <c r="J94" s="7"/>
      <c r="K94" s="7"/>
      <c r="L94" s="7"/>
      <c r="M94" s="7"/>
      <c r="N94" s="7"/>
      <c r="O94" s="1"/>
    </row>
    <row r="95" customFormat="false" ht="15" hidden="false" customHeight="false" outlineLevel="0" collapsed="false">
      <c r="A95" s="1"/>
      <c r="B95" s="1"/>
      <c r="C95" s="1"/>
      <c r="D95" s="1"/>
      <c r="E95" s="1"/>
      <c r="F95" s="1"/>
      <c r="G95" s="1"/>
      <c r="H95" s="1"/>
      <c r="I95" s="1"/>
      <c r="J95" s="1"/>
      <c r="K95" s="1"/>
      <c r="L95" s="1"/>
      <c r="M95" s="1"/>
      <c r="N95" s="1"/>
      <c r="O95" s="1"/>
    </row>
    <row r="96" customFormat="false" ht="15" hidden="false" customHeight="false" outlineLevel="0" collapsed="false">
      <c r="A96" s="1"/>
      <c r="B96" s="1"/>
      <c r="C96" s="1"/>
      <c r="D96" s="1"/>
      <c r="E96" s="1"/>
      <c r="F96" s="1"/>
      <c r="G96" s="1"/>
      <c r="H96" s="1"/>
      <c r="I96" s="1"/>
      <c r="J96" s="1"/>
      <c r="K96" s="1"/>
      <c r="L96" s="1"/>
      <c r="M96" s="1"/>
      <c r="N96" s="1"/>
      <c r="O96" s="1"/>
    </row>
    <row r="97" customFormat="false" ht="15" hidden="false" customHeight="false" outlineLevel="0" collapsed="false">
      <c r="A97" s="1"/>
      <c r="B97" s="1"/>
      <c r="C97" s="1"/>
      <c r="D97" s="1"/>
      <c r="E97" s="1"/>
      <c r="F97" s="1"/>
      <c r="G97" s="1"/>
      <c r="H97" s="1"/>
      <c r="I97" s="1"/>
      <c r="J97" s="1"/>
      <c r="K97" s="1"/>
      <c r="L97" s="1"/>
      <c r="M97" s="1"/>
      <c r="N97" s="1"/>
      <c r="O97" s="1"/>
    </row>
    <row r="98" customFormat="false" ht="15" hidden="false" customHeight="false" outlineLevel="0" collapsed="false">
      <c r="A98" s="1"/>
      <c r="B98" s="1"/>
      <c r="C98" s="1"/>
      <c r="D98" s="1"/>
      <c r="E98" s="1"/>
      <c r="F98" s="1"/>
      <c r="G98" s="1"/>
      <c r="H98" s="1"/>
      <c r="I98" s="1"/>
      <c r="J98" s="1"/>
      <c r="K98" s="1"/>
      <c r="L98" s="1"/>
      <c r="M98" s="1"/>
      <c r="N98" s="1"/>
      <c r="O98" s="1"/>
    </row>
    <row r="99" customFormat="false" ht="15" hidden="false" customHeight="false" outlineLevel="0" collapsed="false">
      <c r="A99" s="1"/>
      <c r="B99" s="1"/>
      <c r="C99" s="1"/>
      <c r="D99" s="1"/>
      <c r="E99" s="1"/>
      <c r="F99" s="1"/>
      <c r="G99" s="1"/>
      <c r="H99" s="1"/>
      <c r="I99" s="1"/>
      <c r="J99" s="1"/>
      <c r="K99" s="1"/>
      <c r="L99" s="1"/>
      <c r="M99" s="1"/>
      <c r="N99" s="1"/>
      <c r="O99" s="1"/>
    </row>
  </sheetData>
  <sheetProtection sheet="true" formatColumns="false" formatRows="false"/>
  <mergeCells count="53">
    <mergeCell ref="B1:N2"/>
    <mergeCell ref="B3:N3"/>
    <mergeCell ref="C4:E4"/>
    <mergeCell ref="G4:I4"/>
    <mergeCell ref="K4:N4"/>
    <mergeCell ref="B6:N6"/>
    <mergeCell ref="B7:N7"/>
    <mergeCell ref="B23:N23"/>
    <mergeCell ref="B24:C24"/>
    <mergeCell ref="D24:F24"/>
    <mergeCell ref="G24:I24"/>
    <mergeCell ref="J24:L24"/>
    <mergeCell ref="M24:N24"/>
    <mergeCell ref="B25:C25"/>
    <mergeCell ref="D25:F25"/>
    <mergeCell ref="G25:I25"/>
    <mergeCell ref="J25:L25"/>
    <mergeCell ref="M25:N25"/>
    <mergeCell ref="B26:C26"/>
    <mergeCell ref="D26:F26"/>
    <mergeCell ref="G26:I26"/>
    <mergeCell ref="J26:L26"/>
    <mergeCell ref="M26:N26"/>
    <mergeCell ref="B28:C28"/>
    <mergeCell ref="D28:F28"/>
    <mergeCell ref="G28:I28"/>
    <mergeCell ref="J28:L28"/>
    <mergeCell ref="M28:N28"/>
    <mergeCell ref="B29:C29"/>
    <mergeCell ref="D29:F29"/>
    <mergeCell ref="G29:I29"/>
    <mergeCell ref="J29:L29"/>
    <mergeCell ref="M29:N29"/>
    <mergeCell ref="B30:C30"/>
    <mergeCell ref="D30:F30"/>
    <mergeCell ref="G30:I30"/>
    <mergeCell ref="J30:L30"/>
    <mergeCell ref="M30:N30"/>
    <mergeCell ref="B32:C32"/>
    <mergeCell ref="D32:N34"/>
    <mergeCell ref="B33:C33"/>
    <mergeCell ref="B34:C34"/>
    <mergeCell ref="B36:N36"/>
    <mergeCell ref="B68:N68"/>
    <mergeCell ref="E71:N72"/>
    <mergeCell ref="E75:N77"/>
    <mergeCell ref="C80:D80"/>
    <mergeCell ref="E80:F80"/>
    <mergeCell ref="G80:H80"/>
    <mergeCell ref="I80:J80"/>
    <mergeCell ref="K80:L80"/>
    <mergeCell ref="M80:N80"/>
    <mergeCell ref="B94:N94"/>
  </mergeCells>
  <conditionalFormatting sqref="D11:L19">
    <cfRule type="expression" priority="2" aboveAverage="0" equalAverage="0" bottom="0" percent="0" rank="0" text="" dxfId="0">
      <formula>D84="Less"</formula>
    </cfRule>
    <cfRule type="expression" priority="3" aboveAverage="0" equalAverage="0" bottom="0" percent="0" rank="0" text="" dxfId="1">
      <formula>D84="Expected"</formula>
    </cfRule>
    <cfRule type="expression" priority="4" aboveAverage="0" equalAverage="0" bottom="0" percent="0" rank="0" text="" dxfId="2">
      <formula>D84="Better"</formula>
    </cfRule>
  </conditionalFormatting>
  <conditionalFormatting sqref="J25">
    <cfRule type="cellIs" priority="5" operator="equal" aboveAverage="0" equalAverage="0" bottom="0" percent="0" rank="0" text="" dxfId="3">
      <formula>"Outstanding"</formula>
    </cfRule>
    <cfRule type="cellIs" priority="6" operator="equal" aboveAverage="0" equalAverage="0" bottom="0" percent="0" rank="0" text="" dxfId="4">
      <formula>"Very Good"</formula>
    </cfRule>
    <cfRule type="cellIs" priority="7" operator="equal" aboveAverage="0" equalAverage="0" bottom="0" percent="0" rank="0" text="" dxfId="5">
      <formula>"Good"</formula>
    </cfRule>
    <cfRule type="cellIs" priority="8" operator="equal" aboveAverage="0" equalAverage="0" bottom="0" percent="0" rank="0" text="" dxfId="6">
      <formula>"Acceptable"</formula>
    </cfRule>
    <cfRule type="cellIs" priority="9" operator="equal" aboveAverage="0" equalAverage="0" bottom="0" percent="0" rank="0" text="" dxfId="7">
      <formula>"Weak"</formula>
    </cfRule>
    <cfRule type="cellIs" priority="10" operator="equal" aboveAverage="0" equalAverage="0" bottom="0" percent="0" rank="0" text="" dxfId="8">
      <formula>"Very Weak"</formula>
    </cfRule>
  </conditionalFormatting>
  <conditionalFormatting sqref="B33">
    <cfRule type="cellIs" priority="11" operator="equal" aboveAverage="0" equalAverage="0" bottom="0" percent="0" rank="0" text="" dxfId="3">
      <formula>"Outstanding"</formula>
    </cfRule>
    <cfRule type="cellIs" priority="12" operator="equal" aboveAverage="0" equalAverage="0" bottom="0" percent="0" rank="0" text="" dxfId="4">
      <formula>"Very Good"</formula>
    </cfRule>
    <cfRule type="cellIs" priority="13" operator="equal" aboveAverage="0" equalAverage="0" bottom="0" percent="0" rank="0" text="" dxfId="5">
      <formula>"Good"</formula>
    </cfRule>
    <cfRule type="cellIs" priority="14" operator="equal" aboveAverage="0" equalAverage="0" bottom="0" percent="0" rank="0" text="" dxfId="6">
      <formula>"Acceptable"</formula>
    </cfRule>
    <cfRule type="cellIs" priority="15" operator="equal" aboveAverage="0" equalAverage="0" bottom="0" percent="0" rank="0" text="" dxfId="7">
      <formula>"Weak"</formula>
    </cfRule>
    <cfRule type="cellIs" priority="16" operator="equal" aboveAverage="0" equalAverage="0" bottom="0" percent="0" rank="0" text="" dxfId="8">
      <formula>"Very Weak"</formula>
    </cfRule>
  </conditionalFormatting>
  <conditionalFormatting sqref="D84:L92">
    <cfRule type="cellIs" priority="17" operator="equal" aboveAverage="0" equalAverage="0" bottom="0" percent="0" rank="0" text="" dxfId="9">
      <formula>"Less"</formula>
    </cfRule>
    <cfRule type="cellIs" priority="18" operator="equal" aboveAverage="0" equalAverage="0" bottom="0" percent="0" rank="0" text="" dxfId="10">
      <formula>"Expected"</formula>
    </cfRule>
    <cfRule type="cellIs" priority="19" operator="equal" aboveAverage="0" equalAverage="0" bottom="0" percent="0" rank="0" text="" dxfId="11">
      <formula>"Better"</formula>
    </cfRule>
  </conditionalFormatting>
  <dataValidations count="2">
    <dataValidation allowBlank="true" error="اكتب عدداً صحيحاً ≥ 0" errorStyle="stop" errorTitle="عدد غير صحيح" operator="greaterThanOrEqual" showDropDown="false" showErrorMessage="true" showInputMessage="false" sqref="C9:M19" type="whole">
      <formula1>0</formula1>
      <formula2>0</formula2>
    </dataValidation>
    <dataValidation allowBlank="false" errorStyle="stop" operator="between" showDropDown="false" showErrorMessage="true" showInputMessage="false" sqref="C71:C72" type="list">
      <formula1>$C$8:$L$8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2026-10-29T03:12:36Z</dcterms:created>
  <dc:creator>openpyxl</dc:creator>
  <dc:description/>
  <dc:language>en-US</dc:language>
  <cp:lastModifiedBy/>
  <dcterms:modified xsi:type="dcterms:W3CDTF">2026-10-29T03:12:40Z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