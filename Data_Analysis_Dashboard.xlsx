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ashboard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<sst xmlns="http://schemas.openxmlformats.org/spreadsheetml/2006/main" count="51" uniqueCount="26">
  <si>
    <t xml:space="preserve">لوحة تحليل البيانات | Data Analysis Dashboard</t>
  </si>
  <si>
    <t xml:space="preserve">اسم المعلم | Teacher</t>
  </si>
  <si>
    <t xml:space="preserve">Mr. Example</t>
  </si>
  <si>
    <t xml:space="preserve">الصف | Class</t>
  </si>
  <si>
    <t xml:space="preserve">Grade 10A</t>
  </si>
  <si>
    <t xml:space="preserve">عدد الطلاب | Students</t>
  </si>
  <si>
    <t xml:space="preserve">الخلايا الصفراء (خط أزرق) = إدخال | عدّل الأرقام المثال بأرقامك</t>
  </si>
  <si>
    <t xml:space="preserve">سلّم التقدير (حسب نسبة At+Above) | Rating scale</t>
  </si>
  <si>
    <t xml:space="preserve">من (≥)</t>
  </si>
  <si>
    <t xml:space="preserve">Outstanding | متميز</t>
  </si>
  <si>
    <t xml:space="preserve">Very Good | جيد جدًا</t>
  </si>
  <si>
    <t xml:space="preserve">Good | جيد</t>
  </si>
  <si>
    <t xml:space="preserve">Acceptable | مقبول</t>
  </si>
  <si>
    <t xml:space="preserve">Weak | ضعيف</t>
  </si>
  <si>
    <t xml:space="preserve">الحدود افتراضية قابلة للتعديل (ليست رسمية)</t>
  </si>
  <si>
    <t xml:space="preserve">الصف كاملًا | Whole Class</t>
  </si>
  <si>
    <t xml:space="preserve">At + Above</t>
  </si>
  <si>
    <t xml:space="preserve">Above</t>
  </si>
  <si>
    <t xml:space="preserve">التقدير | Rating</t>
  </si>
  <si>
    <t xml:space="preserve">التحصيل | Attainment (عدد)</t>
  </si>
  <si>
    <t xml:space="preserve">التحصيل | Attainment (%)</t>
  </si>
  <si>
    <t xml:space="preserve">التقدم | Progress (عدد)</t>
  </si>
  <si>
    <t xml:space="preserve">التقدم | Progress (%)</t>
  </si>
  <si>
    <t xml:space="preserve">الإماراتيون | Emiratis</t>
  </si>
  <si>
    <t xml:space="preserve">السندو | SEND</t>
  </si>
  <si>
    <t xml:space="preserve">الجيفتد والتالنتد | Gifted &amp; Talented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</si>
</sst>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0%"/>
    <numFmt numFmtId="166" formatCode="&quot;عدد: &quot;0"/>
  </numFmts>
  <fonts count="1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FFFFFF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1"/>
      <color rgb="FF0000FF"/>
      <name val="Arial"/>
      <family val="0"/>
      <charset val="1"/>
    </font>
    <font>
      <i val="true"/>
      <sz val="9"/>
      <color rgb="FF666666"/>
      <name val="Arial"/>
      <family val="0"/>
      <charset val="1"/>
    </font>
    <font>
      <sz val="11"/>
      <color rgb="FF000000"/>
      <name val="Arial"/>
      <family val="0"/>
      <charset val="1"/>
    </font>
    <font>
      <b val="true"/>
      <sz val="12"/>
      <color rgb="FFFFFFFF"/>
      <name val="Arial"/>
      <family val="0"/>
      <charset val="1"/>
    </font>
    <font>
      <b val="true"/>
      <sz val="11"/>
      <color rgb="FF000000"/>
      <name val="Arial"/>
      <family val="0"/>
      <charset val="1"/>
    </font>
    <font>
      <b val="true"/>
      <sz val="18"/>
      <color rgb="FF000000"/>
      <name val="FreeSans"/>
      <family val="2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</fonts>
  <fills count="8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FFF9C4"/>
        <bgColor rgb="FFFFFF99"/>
      </patternFill>
    </fill>
    <fill>
      <patternFill patternType="solid">
        <fgColor rgb="FF7F7F7F"/>
        <bgColor rgb="FF878787"/>
      </patternFill>
    </fill>
    <fill>
      <patternFill patternType="solid">
        <fgColor rgb="FF2E75B6"/>
        <bgColor rgb="FF0066CC"/>
      </patternFill>
    </fill>
    <fill>
      <patternFill patternType="solid">
        <fgColor rgb="FFF2F2F2"/>
        <bgColor rgb="FFDDEBF7"/>
      </patternFill>
    </fill>
    <fill>
      <patternFill patternType="solid">
        <fgColor rgb="FFDDEBF7"/>
        <bgColor rgb="FFF2F2F2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  <border diagonalUp="false" diagonalDown="false">
      <left style="thin">
        <color rgb="FF999999"/>
      </left>
      <right/>
      <top style="thin">
        <color rgb="FF999999"/>
      </top>
      <bottom style="thin">
        <color rgb="FF99999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4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6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5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0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6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7F7F7F"/>
      <rgbColor rgb="FF878787"/>
      <rgbColor rgb="FF993366"/>
      <rgbColor rgb="FFFFF9C4"/>
      <rgbColor rgb="FFDDEBF7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2F2"/>
      <rgbColor rgb="FFCCFFCC"/>
      <rgbColor rgb="FFFFFF99"/>
      <rgbColor rgb="FF99CCFF"/>
      <rgbColor rgb="FFFF99CC"/>
      <rgbColor rgb="FFCC99FF"/>
      <rgbColor rgb="FFFFCC99"/>
      <rgbColor rgb="FF2E75B6"/>
      <rgbColor rgb="FF33CCCC"/>
      <rgbColor rgb="FF99CC00"/>
      <rgbColor rgb="FFFFCC00"/>
      <rgbColor rgb="FFFF9900"/>
      <rgbColor rgb="FFED7D31"/>
      <rgbColor rgb="FF666666"/>
      <rgbColor rgb="FF999999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الصف كاملًا | Whole Class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"التحصيل Attainment"</c:f>
              <c:strCache>
                <c:ptCount val="1"/>
                <c:pt idx="0">
                  <c:v>التحصيل Attainment</c:v>
                </c:pt>
              </c:strCache>
            </c:strRef>
          </c:tx>
          <c:spPr>
            <a:solidFill>
              <a:srgbClr val="2e75b6"/>
            </a:solidFill>
            <a:ln w="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outEnd"/>
            <c:showLegendKey val="1"/>
            <c:showVal val="1"/>
            <c:showCatName val="1"/>
            <c:showSerName val="1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Dashboard!$C$17:$D$17</c:f>
              <c:multiLvlStrCache>
                <c:ptCount val="1"/>
                <c:lvl>
                  <c:pt idx="0">
                    <c:v>Above</c:v>
                  </c:pt>
                </c:lvl>
                <c:lvl>
                  <c:pt idx="0">
                    <c:v>At + Above</c:v>
                  </c:pt>
                </c:lvl>
              </c:multiLvlStrCache>
            </c:multiLvlStrRef>
          </c:cat>
          <c:val>
            <c:numRef>
              <c:f>Dashboard!$C$19:$D$19</c:f>
              <c:numCache>
                <c:formatCode>0%</c:formatCode>
                <c:ptCount val="2"/>
                <c:pt idx="0">
                  <c:v>0.714285714285714</c:v>
                </c:pt>
                <c:pt idx="1">
                  <c:v>0.285714285714286</c:v>
                </c:pt>
              </c:numCache>
            </c:numRef>
          </c:val>
        </c:ser>
        <c:ser>
          <c:idx val="1"/>
          <c:order val="1"/>
          <c:tx>
            <c:strRef>
              <c:f>"التقدم Progress"</c:f>
              <c:strCache>
                <c:ptCount val="1"/>
                <c:pt idx="0">
                  <c:v>التقدم Progress</c:v>
                </c:pt>
              </c:strCache>
            </c:strRef>
          </c:tx>
          <c:spPr>
            <a:solidFill>
              <a:srgbClr val="ed7d31"/>
            </a:solidFill>
            <a:ln w="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outEnd"/>
            <c:showLegendKey val="1"/>
            <c:showVal val="1"/>
            <c:showCatName val="1"/>
            <c:showSerName val="1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Dashboard!$C$17:$D$17</c:f>
              <c:multiLvlStrCache>
                <c:ptCount val="1"/>
                <c:lvl>
                  <c:pt idx="0">
                    <c:v>Above</c:v>
                  </c:pt>
                </c:lvl>
                <c:lvl>
                  <c:pt idx="0">
                    <c:v>At + Above</c:v>
                  </c:pt>
                </c:lvl>
              </c:multiLvlStrCache>
            </c:multiLvlStrRef>
          </c:cat>
          <c:val>
            <c:numRef>
              <c:f>Dashboard!$C$22:$D$22</c:f>
              <c:numCache>
                <c:formatCode>0%</c:formatCode>
                <c:ptCount val="2"/>
                <c:pt idx="0">
                  <c:v>0.642857142857143</c:v>
                </c:pt>
                <c:pt idx="1">
                  <c:v>0.25</c:v>
                </c:pt>
              </c:numCache>
            </c:numRef>
          </c:val>
        </c:ser>
        <c:gapWidth val="150"/>
        <c:overlap val="0"/>
        <c:axId val="6901770"/>
        <c:axId val="94392475"/>
      </c:barChart>
      <c:catAx>
        <c:axId val="690177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4392475"/>
        <c:crosses val="autoZero"/>
        <c:auto val="1"/>
        <c:lblAlgn val="ctr"/>
        <c:lblOffset val="100"/>
        <c:noMultiLvlLbl val="0"/>
      </c:catAx>
      <c:valAx>
        <c:axId val="94392475"/>
        <c:scaling>
          <c:orientation val="minMax"/>
          <c:max val="1"/>
          <c:min val="0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0%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901770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الإماراتيون | Emiratis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"التحصيل Attainment"</c:f>
              <c:strCache>
                <c:ptCount val="1"/>
                <c:pt idx="0">
                  <c:v>التحصيل Attainment</c:v>
                </c:pt>
              </c:strCache>
            </c:strRef>
          </c:tx>
          <c:spPr>
            <a:solidFill>
              <a:srgbClr val="2e75b6"/>
            </a:solidFill>
            <a:ln w="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outEnd"/>
            <c:showLegendKey val="1"/>
            <c:showVal val="1"/>
            <c:showCatName val="1"/>
            <c:showSerName val="1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Dashboard!$C$30:$D$30</c:f>
              <c:multiLvlStrCache>
                <c:ptCount val="1"/>
                <c:lvl>
                  <c:pt idx="0">
                    <c:v>Above</c:v>
                  </c:pt>
                </c:lvl>
                <c:lvl>
                  <c:pt idx="0">
                    <c:v>At + Above</c:v>
                  </c:pt>
                </c:lvl>
              </c:multiLvlStrCache>
            </c:multiLvlStrRef>
          </c:cat>
          <c:val>
            <c:numRef>
              <c:f>Dashboard!$C$32:$D$32</c:f>
              <c:numCache>
                <c:formatCode>0%</c:formatCode>
                <c:ptCount val="2"/>
                <c:pt idx="0">
                  <c:v>0.875</c:v>
                </c:pt>
                <c:pt idx="1">
                  <c:v>0.5</c:v>
                </c:pt>
              </c:numCache>
            </c:numRef>
          </c:val>
        </c:ser>
        <c:ser>
          <c:idx val="1"/>
          <c:order val="1"/>
          <c:tx>
            <c:strRef>
              <c:f>"التقدم Progress"</c:f>
              <c:strCache>
                <c:ptCount val="1"/>
                <c:pt idx="0">
                  <c:v>التقدم Progress</c:v>
                </c:pt>
              </c:strCache>
            </c:strRef>
          </c:tx>
          <c:spPr>
            <a:solidFill>
              <a:srgbClr val="ed7d31"/>
            </a:solidFill>
            <a:ln w="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outEnd"/>
            <c:showLegendKey val="1"/>
            <c:showVal val="1"/>
            <c:showCatName val="1"/>
            <c:showSerName val="1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Dashboard!$C$30:$D$30</c:f>
              <c:multiLvlStrCache>
                <c:ptCount val="1"/>
                <c:lvl>
                  <c:pt idx="0">
                    <c:v>Above</c:v>
                  </c:pt>
                </c:lvl>
                <c:lvl>
                  <c:pt idx="0">
                    <c:v>At + Above</c:v>
                  </c:pt>
                </c:lvl>
              </c:multiLvlStrCache>
            </c:multiLvlStrRef>
          </c:cat>
          <c:val>
            <c:numRef>
              <c:f>Dashboard!$C$35:$D$35</c:f>
              <c:numCache>
                <c:formatCode>0%</c:formatCode>
                <c:ptCount val="2"/>
                <c:pt idx="0">
                  <c:v>0.75</c:v>
                </c:pt>
                <c:pt idx="1">
                  <c:v>0.375</c:v>
                </c:pt>
              </c:numCache>
            </c:numRef>
          </c:val>
        </c:ser>
        <c:gapWidth val="150"/>
        <c:overlap val="0"/>
        <c:axId val="74811583"/>
        <c:axId val="11967405"/>
      </c:barChart>
      <c:catAx>
        <c:axId val="7481158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1967405"/>
        <c:crosses val="autoZero"/>
        <c:auto val="1"/>
        <c:lblAlgn val="ctr"/>
        <c:lblOffset val="100"/>
        <c:noMultiLvlLbl val="0"/>
      </c:catAx>
      <c:valAx>
        <c:axId val="11967405"/>
        <c:scaling>
          <c:orientation val="minMax"/>
          <c:max val="1"/>
          <c:min val="0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0%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4811583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السندو | SEND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"التحصيل Attainment"</c:f>
              <c:strCache>
                <c:ptCount val="1"/>
                <c:pt idx="0">
                  <c:v>التحصيل Attainment</c:v>
                </c:pt>
              </c:strCache>
            </c:strRef>
          </c:tx>
          <c:spPr>
            <a:solidFill>
              <a:srgbClr val="2e75b6"/>
            </a:solidFill>
            <a:ln w="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outEnd"/>
            <c:showLegendKey val="1"/>
            <c:showVal val="1"/>
            <c:showCatName val="1"/>
            <c:showSerName val="1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Dashboard!$C$43:$D$43</c:f>
              <c:multiLvlStrCache>
                <c:ptCount val="1"/>
                <c:lvl>
                  <c:pt idx="0">
                    <c:v>Above</c:v>
                  </c:pt>
                </c:lvl>
                <c:lvl>
                  <c:pt idx="0">
                    <c:v>At + Above</c:v>
                  </c:pt>
                </c:lvl>
              </c:multiLvlStrCache>
            </c:multiLvlStrRef>
          </c:cat>
          <c:val>
            <c:numRef>
              <c:f>Dashboard!$C$45:$D$45</c:f>
              <c:numCache>
                <c:formatCode>0%</c:formatCode>
                <c:ptCount val="2"/>
                <c:pt idx="0">
                  <c:v>0.75</c:v>
                </c:pt>
                <c:pt idx="1">
                  <c:v>0.25</c:v>
                </c:pt>
              </c:numCache>
            </c:numRef>
          </c:val>
        </c:ser>
        <c:ser>
          <c:idx val="1"/>
          <c:order val="1"/>
          <c:tx>
            <c:strRef>
              <c:f>"التقدم Progress"</c:f>
              <c:strCache>
                <c:ptCount val="1"/>
                <c:pt idx="0">
                  <c:v>التقدم Progress</c:v>
                </c:pt>
              </c:strCache>
            </c:strRef>
          </c:tx>
          <c:spPr>
            <a:solidFill>
              <a:srgbClr val="ed7d31"/>
            </a:solidFill>
            <a:ln w="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outEnd"/>
            <c:showLegendKey val="1"/>
            <c:showVal val="1"/>
            <c:showCatName val="1"/>
            <c:showSerName val="1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Dashboard!$C$43:$D$43</c:f>
              <c:multiLvlStrCache>
                <c:ptCount val="1"/>
                <c:lvl>
                  <c:pt idx="0">
                    <c:v>Above</c:v>
                  </c:pt>
                </c:lvl>
                <c:lvl>
                  <c:pt idx="0">
                    <c:v>At + Above</c:v>
                  </c:pt>
                </c:lvl>
              </c:multiLvlStrCache>
            </c:multiLvlStrRef>
          </c:cat>
          <c:val>
            <c:numRef>
              <c:f>Dashboard!$C$48:$D$48</c:f>
              <c:numCache>
                <c:formatCode>0%</c:formatCode>
                <c:ptCount val="2"/>
                <c:pt idx="0">
                  <c:v>0.5</c:v>
                </c:pt>
                <c:pt idx="1">
                  <c:v>0</c:v>
                </c:pt>
              </c:numCache>
            </c:numRef>
          </c:val>
        </c:ser>
        <c:gapWidth val="150"/>
        <c:overlap val="0"/>
        <c:axId val="98779583"/>
        <c:axId val="22747865"/>
      </c:barChart>
      <c:catAx>
        <c:axId val="9877958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2747865"/>
        <c:crosses val="autoZero"/>
        <c:auto val="1"/>
        <c:lblAlgn val="ctr"/>
        <c:lblOffset val="100"/>
        <c:noMultiLvlLbl val="0"/>
      </c:catAx>
      <c:valAx>
        <c:axId val="22747865"/>
        <c:scaling>
          <c:orientation val="minMax"/>
          <c:max val="1"/>
          <c:min val="0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0%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8779583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الجيفتد والتالنتد | Gifted &amp; Talented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"التحصيل Attainment"</c:f>
              <c:strCache>
                <c:ptCount val="1"/>
                <c:pt idx="0">
                  <c:v>التحصيل Attainment</c:v>
                </c:pt>
              </c:strCache>
            </c:strRef>
          </c:tx>
          <c:spPr>
            <a:solidFill>
              <a:srgbClr val="2e75b6"/>
            </a:solidFill>
            <a:ln w="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outEnd"/>
            <c:showLegendKey val="1"/>
            <c:showVal val="1"/>
            <c:showCatName val="1"/>
            <c:showSerName val="1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Dashboard!$C$56:$D$56</c:f>
              <c:multiLvlStrCache>
                <c:ptCount val="1"/>
                <c:lvl>
                  <c:pt idx="0">
                    <c:v>Above</c:v>
                  </c:pt>
                </c:lvl>
                <c:lvl>
                  <c:pt idx="0">
                    <c:v>At + Above</c:v>
                  </c:pt>
                </c:lvl>
              </c:multiLvlStrCache>
            </c:multiLvlStrRef>
          </c:cat>
          <c:val>
            <c:numRef>
              <c:f>Dashboard!$C$58:$D$58</c:f>
              <c:numCache>
                <c:formatCode>0%</c:formatCode>
                <c:ptCount val="2"/>
                <c:pt idx="0">
                  <c:v>1</c:v>
                </c:pt>
                <c:pt idx="1">
                  <c:v>0.666666666666667</c:v>
                </c:pt>
              </c:numCache>
            </c:numRef>
          </c:val>
        </c:ser>
        <c:ser>
          <c:idx val="1"/>
          <c:order val="1"/>
          <c:tx>
            <c:strRef>
              <c:f>"التقدم Progress"</c:f>
              <c:strCache>
                <c:ptCount val="1"/>
                <c:pt idx="0">
                  <c:v>التقدم Progress</c:v>
                </c:pt>
              </c:strCache>
            </c:strRef>
          </c:tx>
          <c:spPr>
            <a:solidFill>
              <a:srgbClr val="ed7d31"/>
            </a:solidFill>
            <a:ln w="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outEnd"/>
            <c:showLegendKey val="1"/>
            <c:showVal val="1"/>
            <c:showCatName val="1"/>
            <c:showSerName val="1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Dashboard!$C$56:$D$56</c:f>
              <c:multiLvlStrCache>
                <c:ptCount val="1"/>
                <c:lvl>
                  <c:pt idx="0">
                    <c:v>Above</c:v>
                  </c:pt>
                </c:lvl>
                <c:lvl>
                  <c:pt idx="0">
                    <c:v>At + Above</c:v>
                  </c:pt>
                </c:lvl>
              </c:multiLvlStrCache>
            </c:multiLvlStrRef>
          </c:cat>
          <c:val>
            <c:numRef>
              <c:f>Dashboard!$C$61:$D$61</c:f>
              <c:numCache>
                <c:formatCode>0%</c:formatCode>
                <c:ptCount val="2"/>
                <c:pt idx="0">
                  <c:v>1</c:v>
                </c:pt>
                <c:pt idx="1">
                  <c:v>0.666666666666667</c:v>
                </c:pt>
              </c:numCache>
            </c:numRef>
          </c:val>
        </c:ser>
        <c:gapWidth val="150"/>
        <c:overlap val="0"/>
        <c:axId val="74579526"/>
        <c:axId val="9362545"/>
      </c:barChart>
      <c:catAx>
        <c:axId val="7457952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362545"/>
        <c:crosses val="autoZero"/>
        <c:auto val="1"/>
        <c:lblAlgn val="ctr"/>
        <c:lblOffset val="100"/>
        <c:noMultiLvlLbl val="0"/>
      </c:catAx>
      <c:valAx>
        <c:axId val="9362545"/>
        <c:scaling>
          <c:orientation val="minMax"/>
          <c:max val="1"/>
          <c:min val="0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0%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4579526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6</xdr:col>
      <xdr:colOff>-79200</xdr:colOff>
      <xdr:row>15</xdr:row>
      <xdr:rowOff>0</xdr:rowOff>
    </xdr:from>
    <xdr:to>
      <xdr:col>13</xdr:col>
      <xdr:colOff>0</xdr:colOff>
      <xdr:row>26</xdr:row>
      <xdr:rowOff>50400</xdr:rowOff>
    </xdr:to>
    <xdr:graphicFrame>
      <xdr:nvGraphicFramePr>
        <xdr:cNvPr id="0" name="Chart 1"/>
        <xdr:cNvGraphicFramePr/>
      </xdr:nvGraphicFramePr>
      <xdr:xfrm>
        <a:off x="-9668880" y="3048120"/>
        <a:ext cx="3959640" cy="2231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6</xdr:col>
      <xdr:colOff>-79200</xdr:colOff>
      <xdr:row>28</xdr:row>
      <xdr:rowOff>0</xdr:rowOff>
    </xdr:from>
    <xdr:to>
      <xdr:col>13</xdr:col>
      <xdr:colOff>0</xdr:colOff>
      <xdr:row>37</xdr:row>
      <xdr:rowOff>130320</xdr:rowOff>
    </xdr:to>
    <xdr:graphicFrame>
      <xdr:nvGraphicFramePr>
        <xdr:cNvPr id="1" name="Chart 2"/>
        <xdr:cNvGraphicFramePr/>
      </xdr:nvGraphicFramePr>
      <xdr:xfrm>
        <a:off x="-9668880" y="5610240"/>
        <a:ext cx="3959640" cy="2231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6</xdr:col>
      <xdr:colOff>-79200</xdr:colOff>
      <xdr:row>39</xdr:row>
      <xdr:rowOff>79920</xdr:rowOff>
    </xdr:from>
    <xdr:to>
      <xdr:col>13</xdr:col>
      <xdr:colOff>0</xdr:colOff>
      <xdr:row>49</xdr:row>
      <xdr:rowOff>170280</xdr:rowOff>
    </xdr:to>
    <xdr:graphicFrame>
      <xdr:nvGraphicFramePr>
        <xdr:cNvPr id="2" name="Chart 3"/>
        <xdr:cNvGraphicFramePr/>
      </xdr:nvGraphicFramePr>
      <xdr:xfrm>
        <a:off x="-9668880" y="8172360"/>
        <a:ext cx="3959640" cy="2231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6</xdr:col>
      <xdr:colOff>-79200</xdr:colOff>
      <xdr:row>51</xdr:row>
      <xdr:rowOff>120240</xdr:rowOff>
    </xdr:from>
    <xdr:to>
      <xdr:col>13</xdr:col>
      <xdr:colOff>0</xdr:colOff>
      <xdr:row>61</xdr:row>
      <xdr:rowOff>60120</xdr:rowOff>
    </xdr:to>
    <xdr:graphicFrame>
      <xdr:nvGraphicFramePr>
        <xdr:cNvPr id="3" name="Chart 4"/>
        <xdr:cNvGraphicFramePr/>
      </xdr:nvGraphicFramePr>
      <xdr:xfrm>
        <a:off x="-9668880" y="10734840"/>
        <a:ext cx="3959640" cy="2231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B1:E61"/>
  <sheetViews>
    <sheetView showFormulas="false" showGridLines="false" showRowColHeaders="true" showZeros="true" rightToLeft="tru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26"/>
    <col collapsed="false" customWidth="true" hidden="false" outlineLevel="0" max="4" min="3" style="0" width="16"/>
    <col collapsed="false" customWidth="true" hidden="false" outlineLevel="0" max="5" min="5" style="0" width="18"/>
    <col collapsed="false" customWidth="true" hidden="false" outlineLevel="0" max="7" min="6" style="0" width="3"/>
  </cols>
  <sheetData>
    <row r="1" customFormat="false" ht="30" hidden="false" customHeight="true" outlineLevel="0" collapsed="false">
      <c r="B1" s="1" t="s">
        <v>0</v>
      </c>
      <c r="C1" s="1"/>
      <c r="D1" s="1"/>
      <c r="E1" s="1"/>
    </row>
    <row r="2" customFormat="false" ht="15" hidden="false" customHeight="true" outlineLevel="0" collapsed="false">
      <c r="B2" s="2" t="s">
        <v>1</v>
      </c>
      <c r="C2" s="3" t="s">
        <v>2</v>
      </c>
      <c r="D2" s="3"/>
      <c r="E2" s="3"/>
    </row>
    <row r="3" customFormat="false" ht="15" hidden="false" customHeight="true" outlineLevel="0" collapsed="false">
      <c r="B3" s="2" t="s">
        <v>3</v>
      </c>
      <c r="C3" s="3" t="s">
        <v>4</v>
      </c>
      <c r="D3" s="3"/>
      <c r="E3" s="3"/>
    </row>
    <row r="4" customFormat="false" ht="15" hidden="false" customHeight="false" outlineLevel="0" collapsed="false">
      <c r="B4" s="2" t="s">
        <v>5</v>
      </c>
      <c r="C4" s="3" t="n">
        <v>28</v>
      </c>
      <c r="D4" s="3"/>
      <c r="E4" s="3"/>
    </row>
    <row r="6" customFormat="false" ht="15" hidden="false" customHeight="false" outlineLevel="0" collapsed="false">
      <c r="B6" s="4" t="s">
        <v>6</v>
      </c>
    </row>
    <row r="8" customFormat="false" ht="15" hidden="false" customHeight="true" outlineLevel="0" collapsed="false">
      <c r="B8" s="5" t="s">
        <v>7</v>
      </c>
      <c r="C8" s="5"/>
      <c r="D8" s="5"/>
      <c r="E8" s="5"/>
    </row>
    <row r="9" customFormat="false" ht="15" hidden="false" customHeight="true" outlineLevel="0" collapsed="false">
      <c r="B9" s="6" t="s">
        <v>8</v>
      </c>
      <c r="C9" s="7" t="n">
        <v>0.9</v>
      </c>
      <c r="D9" s="6" t="s">
        <v>9</v>
      </c>
      <c r="E9" s="6"/>
    </row>
    <row r="10" customFormat="false" ht="15" hidden="false" customHeight="true" outlineLevel="0" collapsed="false">
      <c r="B10" s="6" t="s">
        <v>8</v>
      </c>
      <c r="C10" s="7" t="n">
        <v>0.75</v>
      </c>
      <c r="D10" s="6" t="s">
        <v>10</v>
      </c>
      <c r="E10" s="6"/>
    </row>
    <row r="11" customFormat="false" ht="15" hidden="false" customHeight="true" outlineLevel="0" collapsed="false">
      <c r="B11" s="6" t="s">
        <v>8</v>
      </c>
      <c r="C11" s="7" t="n">
        <v>0.6</v>
      </c>
      <c r="D11" s="6" t="s">
        <v>11</v>
      </c>
      <c r="E11" s="6"/>
    </row>
    <row r="12" customFormat="false" ht="15" hidden="false" customHeight="true" outlineLevel="0" collapsed="false">
      <c r="B12" s="6" t="s">
        <v>8</v>
      </c>
      <c r="C12" s="7" t="n">
        <v>0.4</v>
      </c>
      <c r="D12" s="6" t="s">
        <v>12</v>
      </c>
      <c r="E12" s="6"/>
    </row>
    <row r="13" customFormat="false" ht="15" hidden="false" customHeight="true" outlineLevel="0" collapsed="false">
      <c r="B13" s="6" t="s">
        <v>8</v>
      </c>
      <c r="C13" s="7" t="n">
        <v>0</v>
      </c>
      <c r="D13" s="6" t="s">
        <v>13</v>
      </c>
      <c r="E13" s="6"/>
    </row>
    <row r="14" customFormat="false" ht="15" hidden="false" customHeight="false" outlineLevel="0" collapsed="false">
      <c r="B14" s="4" t="s">
        <v>14</v>
      </c>
    </row>
    <row r="16" customFormat="false" ht="21.75" hidden="false" customHeight="true" outlineLevel="0" collapsed="false">
      <c r="B16" s="8" t="s">
        <v>15</v>
      </c>
      <c r="C16" s="8"/>
      <c r="D16" s="8"/>
      <c r="E16" s="9" t="n">
        <f aca="false">C4</f>
        <v>28</v>
      </c>
    </row>
    <row r="17" customFormat="false" ht="15" hidden="false" customHeight="false" outlineLevel="0" collapsed="false">
      <c r="B17" s="10"/>
      <c r="C17" s="10" t="s">
        <v>16</v>
      </c>
      <c r="D17" s="10" t="s">
        <v>17</v>
      </c>
      <c r="E17" s="10" t="s">
        <v>18</v>
      </c>
    </row>
    <row r="18" customFormat="false" ht="15" hidden="false" customHeight="false" outlineLevel="0" collapsed="false">
      <c r="B18" s="11" t="s">
        <v>19</v>
      </c>
      <c r="C18" s="3" t="n">
        <v>20</v>
      </c>
      <c r="D18" s="3" t="n">
        <v>8</v>
      </c>
      <c r="E18" s="11"/>
    </row>
    <row r="19" customFormat="false" ht="15" hidden="false" customHeight="false" outlineLevel="0" collapsed="false">
      <c r="B19" s="12" t="s">
        <v>20</v>
      </c>
      <c r="C19" s="13" t="n">
        <f aca="false">IF($E$16&gt;0,C18/$E$16,0)</f>
        <v>0.714285714285714</v>
      </c>
      <c r="D19" s="13" t="n">
        <f aca="false">IF($E$16&gt;0,D18/$E$16,0)</f>
        <v>0.285714285714286</v>
      </c>
      <c r="E19" s="12" t="str">
        <f aca="false">INDEX($D$9:$D$13,MATCH(TRUE(),INDEX(C19&gt;=$C$9:$C$13,0),0))</f>
        <v>Good | جيد</v>
      </c>
    </row>
    <row r="21" customFormat="false" ht="15" hidden="false" customHeight="false" outlineLevel="0" collapsed="false">
      <c r="B21" s="11" t="s">
        <v>21</v>
      </c>
      <c r="C21" s="3" t="n">
        <v>18</v>
      </c>
      <c r="D21" s="3" t="n">
        <v>7</v>
      </c>
      <c r="E21" s="11"/>
    </row>
    <row r="22" customFormat="false" ht="15" hidden="false" customHeight="false" outlineLevel="0" collapsed="false">
      <c r="B22" s="12" t="s">
        <v>22</v>
      </c>
      <c r="C22" s="13" t="n">
        <f aca="false">IF($E$16&gt;0,C21/$E$16,0)</f>
        <v>0.642857142857143</v>
      </c>
      <c r="D22" s="13" t="n">
        <f aca="false">IF($E$16&gt;0,D21/$E$16,0)</f>
        <v>0.25</v>
      </c>
      <c r="E22" s="12" t="str">
        <f aca="false">INDEX($D$9:$D$13,MATCH(TRUE(),INDEX(C22&gt;=$C$9:$C$13,0),0))</f>
        <v>Good | جيد</v>
      </c>
    </row>
    <row r="29" customFormat="false" ht="21.75" hidden="false" customHeight="true" outlineLevel="0" collapsed="false">
      <c r="B29" s="8" t="s">
        <v>23</v>
      </c>
      <c r="C29" s="8"/>
      <c r="D29" s="8"/>
      <c r="E29" s="14" t="n">
        <v>8</v>
      </c>
    </row>
    <row r="30" customFormat="false" ht="15" hidden="false" customHeight="false" outlineLevel="0" collapsed="false">
      <c r="B30" s="10"/>
      <c r="C30" s="10" t="s">
        <v>16</v>
      </c>
      <c r="D30" s="10" t="s">
        <v>17</v>
      </c>
      <c r="E30" s="10" t="s">
        <v>18</v>
      </c>
    </row>
    <row r="31" customFormat="false" ht="15" hidden="false" customHeight="false" outlineLevel="0" collapsed="false">
      <c r="B31" s="11" t="s">
        <v>19</v>
      </c>
      <c r="C31" s="3" t="n">
        <v>7</v>
      </c>
      <c r="D31" s="3" t="n">
        <v>4</v>
      </c>
      <c r="E31" s="11"/>
    </row>
    <row r="32" customFormat="false" ht="26.85" hidden="false" customHeight="false" outlineLevel="0" collapsed="false">
      <c r="B32" s="12" t="s">
        <v>20</v>
      </c>
      <c r="C32" s="13" t="n">
        <f aca="false">IF($E$29&gt;0,C31/$E$29,0)</f>
        <v>0.875</v>
      </c>
      <c r="D32" s="13" t="n">
        <f aca="false">IF($E$29&gt;0,D31/$E$29,0)</f>
        <v>0.5</v>
      </c>
      <c r="E32" s="12" t="str">
        <f aca="false">INDEX($D$9:$D$13,MATCH(TRUE(),INDEX(C32&gt;=$C$9:$C$13,0),0))</f>
        <v>Very Good | جيد جدًا</v>
      </c>
    </row>
    <row r="34" customFormat="false" ht="15" hidden="false" customHeight="false" outlineLevel="0" collapsed="false">
      <c r="B34" s="11" t="s">
        <v>21</v>
      </c>
      <c r="C34" s="3" t="n">
        <v>6</v>
      </c>
      <c r="D34" s="3" t="n">
        <v>3</v>
      </c>
      <c r="E34" s="11"/>
    </row>
    <row r="35" customFormat="false" ht="26.85" hidden="false" customHeight="false" outlineLevel="0" collapsed="false">
      <c r="B35" s="12" t="s">
        <v>22</v>
      </c>
      <c r="C35" s="13" t="n">
        <f aca="false">IF($E$29&gt;0,C34/$E$29,0)</f>
        <v>0.75</v>
      </c>
      <c r="D35" s="13" t="n">
        <f aca="false">IF($E$29&gt;0,D34/$E$29,0)</f>
        <v>0.375</v>
      </c>
      <c r="E35" s="12" t="str">
        <f aca="false">INDEX($D$9:$D$13,MATCH(TRUE(),INDEX(C35&gt;=$C$9:$C$13,0),0))</f>
        <v>Very Good | جيد جدًا</v>
      </c>
    </row>
    <row r="42" customFormat="false" ht="21.75" hidden="false" customHeight="true" outlineLevel="0" collapsed="false">
      <c r="B42" s="8" t="s">
        <v>24</v>
      </c>
      <c r="C42" s="8"/>
      <c r="D42" s="8"/>
      <c r="E42" s="14" t="n">
        <v>4</v>
      </c>
    </row>
    <row r="43" customFormat="false" ht="15" hidden="false" customHeight="false" outlineLevel="0" collapsed="false">
      <c r="B43" s="10"/>
      <c r="C43" s="10" t="s">
        <v>16</v>
      </c>
      <c r="D43" s="10" t="s">
        <v>17</v>
      </c>
      <c r="E43" s="10" t="s">
        <v>18</v>
      </c>
    </row>
    <row r="44" customFormat="false" ht="15" hidden="false" customHeight="false" outlineLevel="0" collapsed="false">
      <c r="B44" s="11" t="s">
        <v>19</v>
      </c>
      <c r="C44" s="3" t="n">
        <v>3</v>
      </c>
      <c r="D44" s="3" t="n">
        <v>1</v>
      </c>
      <c r="E44" s="11"/>
    </row>
    <row r="45" customFormat="false" ht="26.85" hidden="false" customHeight="false" outlineLevel="0" collapsed="false">
      <c r="B45" s="12" t="s">
        <v>20</v>
      </c>
      <c r="C45" s="13" t="n">
        <f aca="false">IF($E$42&gt;0,C44/$E$42,0)</f>
        <v>0.75</v>
      </c>
      <c r="D45" s="13" t="n">
        <f aca="false">IF($E$42&gt;0,D44/$E$42,0)</f>
        <v>0.25</v>
      </c>
      <c r="E45" s="12" t="str">
        <f aca="false">INDEX($D$9:$D$13,MATCH(TRUE(),INDEX(C45&gt;=$C$9:$C$13,0),0))</f>
        <v>Very Good | جيد جدًا</v>
      </c>
    </row>
    <row r="47" customFormat="false" ht="15" hidden="false" customHeight="false" outlineLevel="0" collapsed="false">
      <c r="B47" s="11" t="s">
        <v>21</v>
      </c>
      <c r="C47" s="3" t="n">
        <v>2</v>
      </c>
      <c r="D47" s="3" t="n">
        <v>0</v>
      </c>
      <c r="E47" s="11"/>
    </row>
    <row r="48" customFormat="false" ht="15" hidden="false" customHeight="false" outlineLevel="0" collapsed="false">
      <c r="B48" s="12" t="s">
        <v>22</v>
      </c>
      <c r="C48" s="13" t="n">
        <f aca="false">IF($E$42&gt;0,C47/$E$42,0)</f>
        <v>0.5</v>
      </c>
      <c r="D48" s="13" t="n">
        <f aca="false">IF($E$42&gt;0,D47/$E$42,0)</f>
        <v>0</v>
      </c>
      <c r="E48" s="12" t="str">
        <f aca="false">INDEX($D$9:$D$13,MATCH(TRUE(),INDEX(C48&gt;=$C$9:$C$13,0),0))</f>
        <v>Acceptable | مقبول</v>
      </c>
    </row>
    <row r="55" customFormat="false" ht="21.75" hidden="false" customHeight="true" outlineLevel="0" collapsed="false">
      <c r="B55" s="8" t="s">
        <v>25</v>
      </c>
      <c r="C55" s="8"/>
      <c r="D55" s="8"/>
      <c r="E55" s="14" t="n">
        <v>3</v>
      </c>
    </row>
    <row r="56" customFormat="false" ht="15" hidden="false" customHeight="false" outlineLevel="0" collapsed="false">
      <c r="B56" s="10"/>
      <c r="C56" s="10" t="s">
        <v>16</v>
      </c>
      <c r="D56" s="10" t="s">
        <v>17</v>
      </c>
      <c r="E56" s="10" t="s">
        <v>18</v>
      </c>
    </row>
    <row r="57" customFormat="false" ht="15" hidden="false" customHeight="false" outlineLevel="0" collapsed="false">
      <c r="B57" s="11" t="s">
        <v>19</v>
      </c>
      <c r="C57" s="3" t="n">
        <v>3</v>
      </c>
      <c r="D57" s="3" t="n">
        <v>2</v>
      </c>
      <c r="E57" s="11"/>
    </row>
    <row r="58" customFormat="false" ht="26.85" hidden="false" customHeight="false" outlineLevel="0" collapsed="false">
      <c r="B58" s="12" t="s">
        <v>20</v>
      </c>
      <c r="C58" s="13" t="n">
        <f aca="false">IF($E$55&gt;0,C57/$E$55,0)</f>
        <v>1</v>
      </c>
      <c r="D58" s="13" t="n">
        <f aca="false">IF($E$55&gt;0,D57/$E$55,0)</f>
        <v>0.666666666666667</v>
      </c>
      <c r="E58" s="12" t="str">
        <f aca="false">INDEX($D$9:$D$13,MATCH(TRUE(),INDEX(C58&gt;=$C$9:$C$13,0),0))</f>
        <v>Outstanding | متميز</v>
      </c>
    </row>
    <row r="60" customFormat="false" ht="15" hidden="false" customHeight="false" outlineLevel="0" collapsed="false">
      <c r="B60" s="11" t="s">
        <v>21</v>
      </c>
      <c r="C60" s="3" t="n">
        <v>3</v>
      </c>
      <c r="D60" s="3" t="n">
        <v>2</v>
      </c>
      <c r="E60" s="11"/>
    </row>
    <row r="61" customFormat="false" ht="26.85" hidden="false" customHeight="false" outlineLevel="0" collapsed="false">
      <c r="B61" s="12" t="s">
        <v>22</v>
      </c>
      <c r="C61" s="13" t="n">
        <f aca="false">IF($E$55&gt;0,C60/$E$55,0)</f>
        <v>1</v>
      </c>
      <c r="D61" s="13" t="n">
        <f aca="false">IF($E$55&gt;0,D60/$E$55,0)</f>
        <v>0.666666666666667</v>
      </c>
      <c r="E61" s="12" t="str">
        <f aca="false">INDEX($D$9:$D$13,MATCH(TRUE(),INDEX(C61&gt;=$C$9:$C$13,0),0))</f>
        <v>Outstanding | متميز</v>
      </c>
    </row>
  </sheetData>
  <mergeCells count="14">
    <mergeCell ref="B1:E1"/>
    <mergeCell ref="C2:E2"/>
    <mergeCell ref="C3:E3"/>
    <mergeCell ref="C4:E4"/>
    <mergeCell ref="B8:E8"/>
    <mergeCell ref="D9:E9"/>
    <mergeCell ref="D10:E10"/>
    <mergeCell ref="D11:E11"/>
    <mergeCell ref="D12:E12"/>
    <mergeCell ref="D13:E13"/>
    <mergeCell ref="B16:D16"/>
    <mergeCell ref="B29:D29"/>
    <mergeCell ref="B42:D42"/>
    <mergeCell ref="B55:D55"/>
  </mergeCells>
  <dataValidations count="1">
    <dataValidation allowBlank="false" error="أدخل رقمًا صحيحًا" errorStyle="stop" operator="greaterThanOrEqual" showDropDown="false" showErrorMessage="true" showInputMessage="false" sqref="C18:D18 C21:D21 C31:D31 C34:D34 C44:D44 C47:D47 C57:D57 C60:D60" type="whole">
      <formula1>0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2026-10-29T05:58:26Z</dcterms:created>
  <dc:creator>openpyxl</dc:creator>
  <dc:description/>
  <dc:language>en-US</dc:language>
  <cp:lastModifiedBy/>
  <dcterms:modified xsi:type="dcterms:W3CDTF">2026-10-29T05:58:34Z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